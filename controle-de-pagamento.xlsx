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2026\ACASA\CONTROLE DE CONTRIBUICOES ASSOCIADOS\"/>
    </mc:Choice>
  </mc:AlternateContent>
  <xr:revisionPtr revIDLastSave="0" documentId="13_ncr:1_{AA34FD11-EB7D-4259-808D-42F4F7F87E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ágina1" sheetId="1" r:id="rId1"/>
  </sheets>
  <calcPr calcId="191029"/>
</workbook>
</file>

<file path=xl/calcChain.xml><?xml version="1.0" encoding="utf-8"?>
<calcChain xmlns="http://schemas.openxmlformats.org/spreadsheetml/2006/main">
  <c r="BJ88" i="1" l="1"/>
  <c r="BJ75" i="1"/>
  <c r="BJ60" i="1"/>
  <c r="BJ112" i="1"/>
  <c r="BJ137" i="1"/>
  <c r="BJ13" i="1"/>
  <c r="BJ136" i="1"/>
  <c r="A73" i="1"/>
  <c r="A9" i="1"/>
  <c r="BJ139" i="1"/>
  <c r="A48" i="1"/>
  <c r="BJ138" i="1"/>
  <c r="A138" i="1"/>
  <c r="A137" i="1"/>
  <c r="A136" i="1"/>
  <c r="BJ135" i="1"/>
  <c r="A135" i="1"/>
  <c r="BJ134" i="1"/>
  <c r="A134" i="1"/>
  <c r="BJ133" i="1"/>
  <c r="A133" i="1"/>
  <c r="BJ132" i="1"/>
  <c r="A132" i="1"/>
  <c r="BJ131" i="1"/>
  <c r="A131" i="1"/>
  <c r="BJ130" i="1"/>
  <c r="A130" i="1"/>
  <c r="BJ129" i="1"/>
  <c r="A129" i="1"/>
  <c r="BJ128" i="1"/>
  <c r="A128" i="1"/>
  <c r="BJ127" i="1"/>
  <c r="A127" i="1"/>
  <c r="BJ126" i="1"/>
  <c r="A126" i="1"/>
  <c r="BJ125" i="1"/>
  <c r="A125" i="1"/>
  <c r="BJ124" i="1"/>
  <c r="A124" i="1"/>
  <c r="BJ123" i="1"/>
  <c r="A123" i="1"/>
  <c r="BJ122" i="1"/>
  <c r="A122" i="1"/>
  <c r="BJ121" i="1"/>
  <c r="A121" i="1"/>
  <c r="BJ120" i="1"/>
  <c r="A120" i="1"/>
  <c r="BJ119" i="1"/>
  <c r="A119" i="1"/>
  <c r="BJ118" i="1"/>
  <c r="A118" i="1"/>
  <c r="BJ117" i="1"/>
  <c r="A117" i="1"/>
  <c r="BJ116" i="1"/>
  <c r="A116" i="1"/>
  <c r="BJ115" i="1"/>
  <c r="A115" i="1"/>
  <c r="BJ114" i="1"/>
  <c r="A114" i="1"/>
  <c r="BJ113" i="1"/>
  <c r="A113" i="1"/>
  <c r="A112" i="1"/>
  <c r="BJ111" i="1"/>
  <c r="A111" i="1"/>
  <c r="BJ110" i="1"/>
  <c r="A110" i="1"/>
  <c r="BJ109" i="1"/>
  <c r="A109" i="1"/>
  <c r="BJ108" i="1"/>
  <c r="A108" i="1"/>
  <c r="BJ107" i="1"/>
  <c r="A107" i="1"/>
  <c r="BJ106" i="1"/>
  <c r="A106" i="1"/>
  <c r="BJ105" i="1"/>
  <c r="A105" i="1"/>
  <c r="BJ104" i="1"/>
  <c r="A104" i="1"/>
  <c r="BJ103" i="1"/>
  <c r="A103" i="1"/>
  <c r="BJ102" i="1"/>
  <c r="A102" i="1"/>
  <c r="BJ101" i="1"/>
  <c r="A101" i="1"/>
  <c r="BJ100" i="1"/>
  <c r="A100" i="1"/>
  <c r="BJ99" i="1"/>
  <c r="A99" i="1"/>
  <c r="BJ98" i="1"/>
  <c r="A98" i="1"/>
  <c r="BJ97" i="1"/>
  <c r="A97" i="1"/>
  <c r="BJ96" i="1"/>
  <c r="A96" i="1"/>
  <c r="BJ95" i="1"/>
  <c r="A95" i="1"/>
  <c r="BJ94" i="1"/>
  <c r="A94" i="1"/>
  <c r="BJ93" i="1"/>
  <c r="A93" i="1"/>
  <c r="BJ92" i="1"/>
  <c r="A92" i="1"/>
  <c r="BJ91" i="1"/>
  <c r="A91" i="1"/>
  <c r="BJ90" i="1"/>
  <c r="A90" i="1"/>
  <c r="BJ89" i="1"/>
  <c r="A89" i="1"/>
  <c r="A88" i="1"/>
  <c r="BJ87" i="1"/>
  <c r="A87" i="1"/>
  <c r="BJ86" i="1"/>
  <c r="A86" i="1"/>
  <c r="BJ85" i="1"/>
  <c r="A85" i="1"/>
  <c r="BJ84" i="1"/>
  <c r="A84" i="1"/>
  <c r="BJ83" i="1"/>
  <c r="A83" i="1"/>
  <c r="BJ82" i="1"/>
  <c r="A82" i="1"/>
  <c r="BJ81" i="1"/>
  <c r="A81" i="1"/>
  <c r="BJ80" i="1"/>
  <c r="A80" i="1"/>
  <c r="BJ79" i="1"/>
  <c r="A79" i="1"/>
  <c r="A78" i="1"/>
  <c r="BJ77" i="1"/>
  <c r="A77" i="1"/>
  <c r="BJ76" i="1"/>
  <c r="A76" i="1"/>
  <c r="A75" i="1"/>
  <c r="BJ74" i="1"/>
  <c r="A74" i="1"/>
  <c r="BJ73" i="1"/>
  <c r="BJ72" i="1"/>
  <c r="A72" i="1"/>
  <c r="BJ71" i="1"/>
  <c r="A71" i="1"/>
  <c r="BJ70" i="1"/>
  <c r="A70" i="1"/>
  <c r="BJ69" i="1"/>
  <c r="A69" i="1"/>
  <c r="BJ68" i="1"/>
  <c r="A68" i="1"/>
  <c r="BJ67" i="1"/>
  <c r="A67" i="1"/>
  <c r="BJ66" i="1"/>
  <c r="A66" i="1"/>
  <c r="BJ65" i="1"/>
  <c r="A65" i="1"/>
  <c r="BJ64" i="1"/>
  <c r="A64" i="1"/>
  <c r="BJ63" i="1"/>
  <c r="A63" i="1"/>
  <c r="BJ62" i="1"/>
  <c r="A62" i="1"/>
  <c r="BJ61" i="1"/>
  <c r="A61" i="1"/>
  <c r="A60" i="1"/>
  <c r="BJ59" i="1"/>
  <c r="A59" i="1"/>
  <c r="BJ58" i="1"/>
  <c r="A58" i="1"/>
  <c r="BJ57" i="1"/>
  <c r="A57" i="1"/>
  <c r="BJ56" i="1"/>
  <c r="A56" i="1"/>
  <c r="BJ55" i="1"/>
  <c r="A55" i="1"/>
  <c r="BJ54" i="1"/>
  <c r="A54" i="1"/>
  <c r="BJ53" i="1"/>
  <c r="A53" i="1"/>
  <c r="BJ52" i="1"/>
  <c r="A52" i="1"/>
  <c r="BJ51" i="1"/>
  <c r="A51" i="1"/>
  <c r="BJ50" i="1"/>
  <c r="A50" i="1"/>
  <c r="BJ49" i="1"/>
  <c r="A49" i="1"/>
  <c r="BJ48" i="1"/>
  <c r="BJ47" i="1"/>
  <c r="A47" i="1"/>
  <c r="BJ46" i="1"/>
  <c r="A46" i="1"/>
  <c r="BJ45" i="1"/>
  <c r="A45" i="1"/>
  <c r="BJ44" i="1"/>
  <c r="A44" i="1"/>
  <c r="BJ43" i="1"/>
  <c r="A43" i="1"/>
  <c r="BJ42" i="1"/>
  <c r="A42" i="1"/>
  <c r="BJ41" i="1"/>
  <c r="BJ40" i="1"/>
  <c r="A40" i="1"/>
  <c r="BJ39" i="1"/>
  <c r="A39" i="1"/>
  <c r="BJ38" i="1"/>
  <c r="A38" i="1"/>
  <c r="BJ37" i="1"/>
  <c r="A37" i="1"/>
  <c r="BJ36" i="1"/>
  <c r="A36" i="1"/>
  <c r="BJ35" i="1"/>
  <c r="A35" i="1"/>
  <c r="BJ34" i="1"/>
  <c r="A34" i="1"/>
  <c r="BJ33" i="1"/>
  <c r="A33" i="1"/>
  <c r="BJ32" i="1"/>
  <c r="A32" i="1"/>
  <c r="BJ31" i="1"/>
  <c r="A31" i="1"/>
  <c r="BJ30" i="1"/>
  <c r="A30" i="1"/>
  <c r="BJ29" i="1"/>
  <c r="A29" i="1"/>
  <c r="BJ28" i="1"/>
  <c r="A28" i="1"/>
  <c r="BJ27" i="1"/>
  <c r="A27" i="1"/>
  <c r="BJ26" i="1"/>
  <c r="A26" i="1"/>
  <c r="BJ25" i="1"/>
  <c r="A25" i="1"/>
  <c r="BJ24" i="1"/>
  <c r="A24" i="1"/>
  <c r="BJ23" i="1"/>
  <c r="A23" i="1"/>
  <c r="BJ22" i="1"/>
  <c r="A22" i="1"/>
  <c r="BJ21" i="1"/>
  <c r="A21" i="1"/>
  <c r="BJ20" i="1"/>
  <c r="A20" i="1"/>
  <c r="BJ19" i="1"/>
  <c r="A19" i="1"/>
  <c r="BJ18" i="1"/>
  <c r="A18" i="1"/>
  <c r="BJ17" i="1"/>
  <c r="A17" i="1"/>
  <c r="BJ16" i="1"/>
  <c r="A16" i="1"/>
  <c r="BJ15" i="1"/>
  <c r="A15" i="1"/>
  <c r="BJ14" i="1"/>
  <c r="A14" i="1"/>
  <c r="A13" i="1"/>
  <c r="BJ12" i="1"/>
  <c r="A12" i="1"/>
  <c r="BJ11" i="1"/>
  <c r="A11" i="1"/>
  <c r="BJ10" i="1"/>
  <c r="A10" i="1"/>
  <c r="BJ9" i="1"/>
  <c r="BJ8" i="1"/>
  <c r="A8" i="1"/>
  <c r="BJ7" i="1"/>
  <c r="A7" i="1"/>
  <c r="BJ6" i="1"/>
  <c r="A6" i="1"/>
  <c r="BJ5" i="1"/>
  <c r="A5" i="1"/>
  <c r="BJ4" i="1"/>
  <c r="A4" i="1"/>
  <c r="BJ3" i="1"/>
  <c r="A3" i="1"/>
</calcChain>
</file>

<file path=xl/sharedStrings.xml><?xml version="1.0" encoding="utf-8"?>
<sst xmlns="http://schemas.openxmlformats.org/spreadsheetml/2006/main" count="846" uniqueCount="408">
  <si>
    <t>ID</t>
  </si>
  <si>
    <t>NOME</t>
  </si>
  <si>
    <t>adic jan</t>
  </si>
  <si>
    <t>adic fev</t>
  </si>
  <si>
    <t>adic mar</t>
  </si>
  <si>
    <t>adic abr</t>
  </si>
  <si>
    <t>adic mai</t>
  </si>
  <si>
    <t>adic jun</t>
  </si>
  <si>
    <t>adic jul</t>
  </si>
  <si>
    <t>adic set</t>
  </si>
  <si>
    <t>adic out</t>
  </si>
  <si>
    <t>adic nov</t>
  </si>
  <si>
    <t>adic dez</t>
  </si>
  <si>
    <t>adic ago</t>
  </si>
  <si>
    <t>ADÃO CRISTINO DA SILVA - 1</t>
  </si>
  <si>
    <t>ADÃO JOAQUIN DA SILVA(MARLI) - 2</t>
  </si>
  <si>
    <t>ADEIR RIBEIRO NASCIMENTO * ITAUNA - 3</t>
  </si>
  <si>
    <t>&lt;p/wagner mascarenhas</t>
  </si>
  <si>
    <t>??</t>
  </si>
  <si>
    <t>ADIR VILAÇA DE JESUS *BH - 4  (Lucas ?)</t>
  </si>
  <si>
    <t>ANDERSON DUARTE DE OLIVEIRA *BH - 5</t>
  </si>
  <si>
    <t>(Valéria e Amarildo) e ANDERSON *BH - 6 - (Gaucho?)</t>
  </si>
  <si>
    <t>ANDERSON MENDES DA COSTA *TIM - 7</t>
  </si>
  <si>
    <t>ANGELO RICARDO DE ARAÚJO/Valéria - 8</t>
  </si>
  <si>
    <t>DANIELA CRISTINA DA SILVA - 9</t>
  </si>
  <si>
    <t>ARILSON AFONSO OLIVEIRA *PINGUIM -10</t>
  </si>
  <si>
    <t>ARMANDO DE FREITAS ROSA -11</t>
  </si>
  <si>
    <t>WALTER GONÇALVES VITORIANO -12</t>
  </si>
  <si>
    <t>JANDIR IDALINO SILVA - 13</t>
  </si>
  <si>
    <t>AUGUSTO ALVES VIEIRA *PASTOR -14</t>
  </si>
  <si>
    <t>DIAN CARLOS NOLASCO JUNIOR -15</t>
  </si>
  <si>
    <t>CARLOS NOGUEIRA DA SILVA *ITAUNAC-16</t>
  </si>
  <si>
    <t>MARIA DE LOURDES DA CRUZ - 17</t>
  </si>
  <si>
    <t>CARLOS ROBERTO DA SILVA *LELECO -18</t>
  </si>
  <si>
    <t>ALEX HENRIQUE DE OLIVEIRA *ITAUNA - 19</t>
  </si>
  <si>
    <t>*f 15</t>
  </si>
  <si>
    <t>f 15</t>
  </si>
  <si>
    <t>Jean e Ana Paula Nery de Santana - 20</t>
  </si>
  <si>
    <t>* f 15</t>
  </si>
  <si>
    <t>CLESIO ALVES MEDEIROS *ITAUNA -21</t>
  </si>
  <si>
    <t>DENILSON ANTONIO DA COSTA *BH - 23</t>
  </si>
  <si>
    <t>EDMUNDO CAMPOS MENEZES *FOIA - 24</t>
  </si>
  <si>
    <t>ELCIO FRANCISCO OLIVEIRA *ITAUNA - 25</t>
  </si>
  <si>
    <t>WILSON GERALDO DE OLIVEIRA - 26</t>
  </si>
  <si>
    <t>VALDECI LUCAS FERREIRA - 27</t>
  </si>
  <si>
    <t>ALESSANDRO SOARES FERREIRA - 28</t>
  </si>
  <si>
    <t>PAGOU ATÉ Maio &gt;&gt;</t>
  </si>
  <si>
    <t>EXPEDITO RAMOS PEREIRA *TEXACO - 29</t>
  </si>
  <si>
    <t>IRACI PAULA DA SILVA *COQUINHO - 30</t>
  </si>
  <si>
    <t>FRANCISCO DE PAULA CALDEIRA *BH - 31</t>
  </si>
  <si>
    <t>GERALDO ANTONIO DA SILVA *BH - 32</t>
  </si>
  <si>
    <t>BRUNO AUGUSTO ALVES *ITAUNA - 33</t>
  </si>
  <si>
    <t>CARLOS G DE MELO *PESCADOR - 34</t>
  </si>
  <si>
    <t>GERALDO EUSTÁQUIO MÁXIMO – INDIO – 35</t>
  </si>
  <si>
    <t>EVANDIR FERREIRA *(Pai de Eliene e Juscilene) – 36</t>
  </si>
  <si>
    <t>AFONSO ZAMBONI VIEIRA – 37</t>
  </si>
  <si>
    <t>GIRCÉLIO ADÃO DA SILVA * CELINHO – 38</t>
  </si>
  <si>
    <t>ok</t>
  </si>
  <si>
    <t>DILSON ALÍPIO DE FARIAS – 39</t>
  </si>
  <si>
    <t>ROBERTO GONÇALVES LEAL - LEÃO BAHIA? – 40</t>
  </si>
  <si>
    <t>ARLI DA SILVEIRA SOUZA – 41</t>
  </si>
  <si>
    <t>JOSÉ VALDOMIRO MOREIRA - * ZÉ BORGES – 42</t>
  </si>
  <si>
    <t>JOÃO BATISTA FILHO – 43</t>
  </si>
  <si>
    <t>* f15</t>
  </si>
  <si>
    <t>f15</t>
  </si>
  <si>
    <t>JOSÉ NATALÍCIO A. M. *CÉLIO – 44</t>
  </si>
  <si>
    <t>JOÃO MÁXIMO PEREIRA *IGUATAMA D: FLAVIO COSTA ANJOS DOS SANTOS – 45</t>
  </si>
  <si>
    <t>JOEL MOREIRA NETO *BH – 46</t>
  </si>
  <si>
    <t>JORGE PEREIRA DOS SANTOS – 47</t>
  </si>
  <si>
    <t>JOSÉ ANTONIO DE SOUZA *CATONHO – 48</t>
  </si>
  <si>
    <t>JOÃO GILBERTO DE SOUSA *GIL – 49</t>
  </si>
  <si>
    <t>JOSÉ EUSTÁQUIO SILVA *B. DESPACHO – 50</t>
  </si>
  <si>
    <t>JOSÉ EVARISTO CAMARGOS FILHO *ZEZE – 51</t>
  </si>
  <si>
    <t>JOSÉ FERREIRA MORAIS *DO BONFIM – 52</t>
  </si>
  <si>
    <t>JOSE LUCAS DA SILVA – 53</t>
  </si>
  <si>
    <t>JOSE LUIS GUIMARAES *ITAUNA – 54</t>
  </si>
  <si>
    <t>JOSÉ PEREIRA DOS SANTOS *SÔ ZEZE – 55</t>
  </si>
  <si>
    <t>LAURECI COSTA * LOURO- 56</t>
  </si>
  <si>
    <t>MARIA AMARAL - ELBER JOSÉ BARRETO *SÍTIO ADÃO – 57</t>
  </si>
  <si>
    <t>.</t>
  </si>
  <si>
    <t>LILIAN TAVARES BRAGA *BH – 58</t>
  </si>
  <si>
    <t>LUIS DOS SANTOS BATISTA *LAGOA STA. – 59</t>
  </si>
  <si>
    <t>MANOEL ALVES DA ROCHA *PASTOR – 60</t>
  </si>
  <si>
    <t>MARCELO RIBEIRO DOS PASSOS *ITAUNA – 61</t>
  </si>
  <si>
    <t>MARIA DAS GRAÇAS DA SILVA – 62</t>
  </si>
  <si>
    <t>MARIELZA DE SOUSA – 63</t>
  </si>
  <si>
    <t>MARIO TAVARES DA SILVA – 64</t>
  </si>
  <si>
    <t>CONCEIÇÃO FELISBELA MORAIS – 65</t>
  </si>
  <si>
    <t>ORLANDO FRANCISCO DA SILVA – 66</t>
  </si>
  <si>
    <t>PERICLES MAURÍLIO CORREA *BH – 67</t>
  </si>
  <si>
    <t>ver se tem recibo anterioir</t>
  </si>
  <si>
    <t>GUILHERME CARLOS DE FARIAS – 68</t>
  </si>
  <si>
    <t>RAIMUNDO FERREIRA SILVA *GOIANO-Oraida – 69</t>
  </si>
  <si>
    <t xml:space="preserve"> </t>
  </si>
  <si>
    <t>* f 30</t>
  </si>
  <si>
    <t>ANTONIO FERREIRA NETO – 70</t>
  </si>
  <si>
    <t>ROBERTO MARCOS SANTOS *PASTOR – 71</t>
  </si>
  <si>
    <t>CLOVIS ... *GAVIÃO – 72</t>
  </si>
  <si>
    <t>ROMILDO JOSE DE ALMEIDA *ITAUNA – 73</t>
  </si>
  <si>
    <t>ROGÉRIO NORBERTO DE ARAUJO – 74</t>
  </si>
  <si>
    <t>ROGERIO SOARES FERREIRA – 75</t>
  </si>
  <si>
    <t>ROBSON CORDEIRO DUARTE *DIVINOP – 76</t>
  </si>
  <si>
    <t>RONALDO PEREIRA DOS SANTOS *BH – 77</t>
  </si>
  <si>
    <t>SERAFIM PEIXOTO *BH – 78</t>
  </si>
  <si>
    <t>SONIA ALVES DE OLIVEIRA – 79</t>
  </si>
  <si>
    <t>TEREZINHA RODRIGUES DA SILVA – 80</t>
  </si>
  <si>
    <t>MICHAEL JUAN DE SOUZA SANTOS - 81</t>
  </si>
  <si>
    <t>VALDIR FERREIRA DA COSTA *ITAUNA – 82</t>
  </si>
  <si>
    <t>ZÉ DA CASA – FRANCISCO – 83</t>
  </si>
  <si>
    <t>VALDIR MACHADO BRAGA *PAI RONAN – 84</t>
  </si>
  <si>
    <t>VANDEIR FONSECA *ITAUNA – 85</t>
  </si>
  <si>
    <t>ADERLANE BARBOSA DA SILVA *BH – 86</t>
  </si>
  <si>
    <t>LAIS ... – 87</t>
  </si>
  <si>
    <t>DESLIGADO</t>
  </si>
  <si>
    <t>MARCIO ANTONIO ARAUJO – 90</t>
  </si>
  <si>
    <t>GLEICIENE FONSECA *BH – 91</t>
  </si>
  <si>
    <t>SAMUEL ANTONIO DE ALMEIDA *BH – 92</t>
  </si>
  <si>
    <t>MICAELLE L. CASTRO – 93</t>
  </si>
  <si>
    <t>MARIA JOSE DA SILVA - Sr Delfino – 94</t>
  </si>
  <si>
    <t>JOSÉ MAURICIO DA SILVA – 95</t>
  </si>
  <si>
    <t>&lt; recibo a mão</t>
  </si>
  <si>
    <t>ANTONIO MARTINS DE OLIVEIRA – 96</t>
  </si>
  <si>
    <t>JOSE LUIZ DA SILVA – 97</t>
  </si>
  <si>
    <t>JOSE PEREIRA DE ALMEIDA – 98</t>
  </si>
  <si>
    <t>JANIO GONÇALVES SANTOS – 99</t>
  </si>
  <si>
    <t>150,00+1,00</t>
  </si>
  <si>
    <t>FREDERICO DIAS OLIVEIRA – 101</t>
  </si>
  <si>
    <t>RICARDO PEREIRA DOS SANTOS – 102</t>
  </si>
  <si>
    <t>TEREZINHA ERCILIA DE SOUSA – 103</t>
  </si>
  <si>
    <t>MILTON DA SILVA -104</t>
  </si>
  <si>
    <t>RUTI ANTONIO – 106</t>
  </si>
  <si>
    <t>VARNEY JOSÉ DE SOUZA – 107</t>
  </si>
  <si>
    <t>DIMAS ROCHA – 108</t>
  </si>
  <si>
    <t>HILDA MARIA DA SILVA – 110</t>
  </si>
  <si>
    <t>CAIQUE MIGUEL – 111</t>
  </si>
  <si>
    <t>TIAGO DA CRUZ – 112</t>
  </si>
  <si>
    <t>VILMA ALVARES PORTES – 113</t>
  </si>
  <si>
    <t>ADRIANA M. BASILHO – 114</t>
  </si>
  <si>
    <t>LUCAS *MARINHO ? – 115</t>
  </si>
  <si>
    <t>PEDRO *PAI DO RONE – 116</t>
  </si>
  <si>
    <t>RONE ... – 117 / D: LUCAS GOMES DE PAULA</t>
  </si>
  <si>
    <t>ELIAS RAMOS DA COSTA – 118</t>
  </si>
  <si>
    <t>LUCAS ... – 120</t>
  </si>
  <si>
    <t>CLAUDIO DA C. FERREIRA – 121</t>
  </si>
  <si>
    <t>não constaX-out</t>
  </si>
  <si>
    <t>não constaX-nov</t>
  </si>
  <si>
    <t>não constaX-dez</t>
  </si>
  <si>
    <t>ANDRE ... *MARINHO ? - 122</t>
  </si>
  <si>
    <t>EVANDRO... – 123</t>
  </si>
  <si>
    <t>LUCIANO HERAK ... – 124</t>
  </si>
  <si>
    <t>ARLI ... – 125</t>
  </si>
  <si>
    <t>ALESSANDRA M. – 126</t>
  </si>
  <si>
    <t>LG 18-11-23</t>
  </si>
  <si>
    <t>GUILHERME CARLOS – 127</t>
  </si>
  <si>
    <t>CORTADA 01-22</t>
  </si>
  <si>
    <t>?? a que se refere o valor anterior?</t>
  </si>
  <si>
    <t>NILDA – ALESSAN ... – 128</t>
  </si>
  <si>
    <t>ARILSON *PINGUIN – 129</t>
  </si>
  <si>
    <t>LG 05-24</t>
  </si>
  <si>
    <t>FRANCIS ALVES *ARMANDO – 130</t>
  </si>
  <si>
    <t>LG 08-24</t>
  </si>
  <si>
    <t>DESIRE *VALTER – 131</t>
  </si>
  <si>
    <t>LG 09-24</t>
  </si>
  <si>
    <t>EDSON ... – 132</t>
  </si>
  <si>
    <t>LG 10-24</t>
  </si>
  <si>
    <t>WAGNER BORGES – 133</t>
  </si>
  <si>
    <t>PAGA LIGAÇÃO - SEM DATA</t>
  </si>
  <si>
    <t>JAIRO *VALLOUREC – 134</t>
  </si>
  <si>
    <t>religação ou parcelamento de ligação?</t>
  </si>
  <si>
    <t>JOSÉ TARCISIO – 135</t>
  </si>
  <si>
    <t>LG 12-24</t>
  </si>
  <si>
    <t>MAINHO - 136</t>
  </si>
  <si>
    <t>Vander Antunes dos Santos - 137</t>
  </si>
  <si>
    <t>LG 03-25</t>
  </si>
  <si>
    <t>OSMAR HOTT DE FARIA</t>
  </si>
  <si>
    <t>???</t>
  </si>
  <si>
    <t>11/6 60,00</t>
  </si>
  <si>
    <t>12/02 150,00</t>
  </si>
  <si>
    <t>26/6 75,00</t>
  </si>
  <si>
    <t>23/04 250,00</t>
  </si>
  <si>
    <t>-</t>
  </si>
  <si>
    <t>* f 15  = falta 15,00 no valor da parcela conf. assembleia 19/4</t>
  </si>
  <si>
    <t>Associados em dia ate junho</t>
  </si>
  <si>
    <t>80.</t>
  </si>
  <si>
    <t>Associados em dia ate julho</t>
  </si>
  <si>
    <t>66.</t>
  </si>
  <si>
    <t>Associados quites até o final de 2025</t>
  </si>
  <si>
    <t>21.</t>
  </si>
  <si>
    <t>Associados sem nenhum pgt em 2024 e 2025</t>
  </si>
  <si>
    <t>17.</t>
  </si>
  <si>
    <t>RESOLVIDO - PGT ASSOCIADO LOCALIZADO</t>
  </si>
  <si>
    <t>23.</t>
  </si>
  <si>
    <t>DEPOSITO - DINHEIRO NÃO LOCALIZADO</t>
  </si>
  <si>
    <t>12.</t>
  </si>
  <si>
    <t>PREENCHIM CELULA AMARELO - controle da gestão anterior - intervalo branco entre tarja amarela representa ausencia de pagamento</t>
  </si>
  <si>
    <t>PREENCHIM CELULA VERMELHO - controle da gestão atual - - intervalo branco entre tarja vermelha representa ausencia de pagamento</t>
  </si>
  <si>
    <t>CÉLULA EM BRANCO - AUSÊNCIA DE PGTO</t>
  </si>
  <si>
    <t>PENDENTES - IDENTIFICAR</t>
  </si>
  <si>
    <t>X</t>
  </si>
  <si>
    <t>MARIA EDUARDA RAMOS FERREIRA</t>
  </si>
  <si>
    <t>25/06/2025 150,00</t>
  </si>
  <si>
    <t>NENHUM REGISTRO ENCONTRADO</t>
  </si>
  <si>
    <t>ADIR VILAÇA DE JESUS *BH - 4  (Lucas ?)  tarja 2024</t>
  </si>
  <si>
    <t>JANDIR IDALINO SILVA - 13 -tarjado amarelo 2024-25</t>
  </si>
  <si>
    <t>Saldo Atual em conta</t>
  </si>
  <si>
    <t>R$17.239,93 C</t>
  </si>
  <si>
    <t xml:space="preserve"> Fácil Simples - aplicação - 15.611,59</t>
  </si>
  <si>
    <t>Caso do jairo - 134</t>
  </si>
  <si>
    <t>Caso do OSMAR HOTT DE FARIA 138</t>
  </si>
  <si>
    <t>50,03  por wagner mascarenhas  ?</t>
  </si>
  <si>
    <t>175,03 RODRIGO DE FREITAS ALVES ??</t>
  </si>
  <si>
    <t>TLA = 25 X TMC = 625</t>
  </si>
  <si>
    <t>TMC = 25,00</t>
  </si>
  <si>
    <t>TRA = 10 X TMC = 250,00</t>
  </si>
  <si>
    <t>TLA = 40 X TMC = 1.000,00</t>
  </si>
  <si>
    <t>TMC = 40,00</t>
  </si>
  <si>
    <t>TRA = 10 X TMC = 400,00</t>
  </si>
  <si>
    <t>Erro no artigo 3º do regimento quanto ao tempo de mandato do DGFAP</t>
  </si>
  <si>
    <t>RODRIGO FERREIRA ARAUJO (DESLIGADO) – 88</t>
  </si>
  <si>
    <t>BIANCA FERREIRA ARAUJO (DESLIGADO) - 89</t>
  </si>
  <si>
    <t>*em 4 dep 150,39, 1 de 25,39 e 1 de 160,39 em 5/8</t>
  </si>
  <si>
    <t>c 30,00</t>
  </si>
  <si>
    <t>*11-08</t>
  </si>
  <si>
    <t>ROGÉRIO-Carlos Rios-JOÃO VITOR RODRIGUES  RIOS– 119</t>
  </si>
  <si>
    <t>c 10,00</t>
  </si>
  <si>
    <t>c40,00</t>
  </si>
  <si>
    <t>c500,00</t>
  </si>
  <si>
    <t>WAGNER BASTOS MOREIRA SILVA - 139</t>
  </si>
  <si>
    <t>c5,00</t>
  </si>
  <si>
    <t>RAUL F. CARLOS /JEFFERSON RENE - 100</t>
  </si>
  <si>
    <t>50,00 + 30,00 + 1,00</t>
  </si>
  <si>
    <t>17,70 +16,35</t>
  </si>
  <si>
    <t>f5,95</t>
  </si>
  <si>
    <t>CHARLES ALMEIDA - ADMILSON ALMEIDA- 22</t>
  </si>
  <si>
    <t>ver a qual periodo se refere o lançamento</t>
  </si>
  <si>
    <t>mensagem enviada em 15/10/2025</t>
  </si>
  <si>
    <t>c 15,00</t>
  </si>
  <si>
    <t>ligar</t>
  </si>
  <si>
    <t>100,14 + 60,14</t>
  </si>
  <si>
    <t>c20,00</t>
  </si>
  <si>
    <t>ligar ou ver zap</t>
  </si>
  <si>
    <t>C 25,00</t>
  </si>
  <si>
    <t>outubro</t>
  </si>
  <si>
    <t>setembro</t>
  </si>
  <si>
    <t>agosto</t>
  </si>
  <si>
    <t>Até a assembleia 18/10/2025</t>
  </si>
  <si>
    <t>sendo 5 fez algum pgto - ligar p atualizar situação</t>
  </si>
  <si>
    <t>TRA = 10 X 25,00 = 250,00</t>
  </si>
  <si>
    <t>TLA = 25 X 25,00 = 625</t>
  </si>
  <si>
    <t>TLA e TRA mantidas com base na TMC anterior de 25,00</t>
  </si>
  <si>
    <t>Carlos Junior Rodrigues de Souza</t>
  </si>
  <si>
    <t>09/09/2025 210,00</t>
  </si>
  <si>
    <t>WILHAM ROGERIO DA SILVA/EDUARDO FELIPE – 105</t>
  </si>
  <si>
    <t>codigo incorreto</t>
  </si>
  <si>
    <t>c25,00</t>
  </si>
  <si>
    <t>06/10 210,00</t>
  </si>
  <si>
    <t>c10</t>
  </si>
  <si>
    <t xml:space="preserve">parc1-LG </t>
  </si>
  <si>
    <t xml:space="preserve">parc2-LG </t>
  </si>
  <si>
    <t>125,00 pg até 08/2025.</t>
  </si>
  <si>
    <t>pg por Ronaldo em 11/10 até ago/2025</t>
  </si>
  <si>
    <t>ISNAR LEOTONIO LEITE *BH – 109</t>
  </si>
  <si>
    <t>480,00 ref 2026</t>
  </si>
  <si>
    <t>40,44 + 40,44</t>
  </si>
  <si>
    <t>33,00 + 1,37 em 1/01/26</t>
  </si>
  <si>
    <t>150,07 seg semestre 2025</t>
  </si>
  <si>
    <t>240,00 03-01</t>
  </si>
  <si>
    <t>240,36 em  05-01</t>
  </si>
  <si>
    <t>41,30 5-1-26</t>
  </si>
  <si>
    <t>c 40,11</t>
  </si>
  <si>
    <t>601,05 + 5,00  em 05-01</t>
  </si>
  <si>
    <t>c 40,87 + 480,37 em 09-01</t>
  </si>
  <si>
    <t>12-01 430,00</t>
  </si>
  <si>
    <t>JÉSSICA CORNÉLIA D</t>
  </si>
  <si>
    <t>27-01-2026 40,00</t>
  </si>
  <si>
    <t>40,58 em 2-2</t>
  </si>
  <si>
    <t>25,73 em 2-2</t>
  </si>
  <si>
    <t>Joel Correa - comprou de GUILHERME CARLOS – 127</t>
  </si>
  <si>
    <t>80 + 60,07</t>
  </si>
  <si>
    <t>OK 2025 C/Crédito 30,00 jan</t>
  </si>
  <si>
    <t>Situação</t>
  </si>
  <si>
    <t>09/2024, 01,03,04,06,07,09,10,11,12/2025 e 01,02/2026</t>
  </si>
  <si>
    <t>credito 25,00 em 09/2025 e sem comprovantes nos meses seguintes</t>
  </si>
  <si>
    <t>a partir de 01/2025</t>
  </si>
  <si>
    <t>a partir de 09/2025</t>
  </si>
  <si>
    <t>a partir de 11/2025</t>
  </si>
  <si>
    <t>crédito de 20,00 em 10/2025 e s/comp a partir daí</t>
  </si>
  <si>
    <t>05 a 12/2025 s/ comprovante e 1 pgt 50,17 em 01/2026</t>
  </si>
  <si>
    <t>Segundo Leleco o Zé Augusto enviará recibos de depósito já feitos.</t>
  </si>
  <si>
    <t>Meses s/comprovante-OBS</t>
  </si>
  <si>
    <t>C120,00 coluna AW quita jan a abril/2026</t>
  </si>
  <si>
    <t>.Credito 160,25 mês 2/26 sugere quitar 4 últimos meses, falta ago/2025</t>
  </si>
  <si>
    <t>.c 300,27 quita 4 x 25 + 5 x 40 = ok até 01/2026</t>
  </si>
  <si>
    <t>conferir comprovantes a partir de 06/2025</t>
  </si>
  <si>
    <t>ok até junho-2026</t>
  </si>
  <si>
    <t>ok até fev-2026</t>
  </si>
  <si>
    <t>solicitar comprovantes a partir de set/2025</t>
  </si>
  <si>
    <t>09, 10 e 11 pagos a 25,00 por isso f 15 em cada mês, ajustar e pedir comprovantes a partir daí.</t>
  </si>
  <si>
    <t>01 e 02/2026 sem comprovantes</t>
  </si>
  <si>
    <t>Pg 80,00 de 01 e 02/2026 e 60,07 ref a diferenças de taxa recolhida a menor nos  meses 09,10,11 e 12/2025</t>
  </si>
  <si>
    <t>c em 06-01 quita até 03/2026</t>
  </si>
  <si>
    <t>solicitar comprovantes a partir de jan/2025</t>
  </si>
  <si>
    <t>ok 2026 + 40,87 c p/2027</t>
  </si>
  <si>
    <t>ok 2026</t>
  </si>
  <si>
    <t>ok 2026 + credito de 20,00 p/2027</t>
  </si>
  <si>
    <t>ok até março-2026 + c5,00 p/abr/2026</t>
  </si>
  <si>
    <t>ok até jan/2026</t>
  </si>
  <si>
    <t>solicitar comprovantes a partir de jul-2025</t>
  </si>
  <si>
    <t>solicitar complemento de taxa de agosto a dez/2025 no valor de 60,00 (15,00 cada mes), 01 e 02/2026 sem comprovantes</t>
  </si>
  <si>
    <t>OK 2026</t>
  </si>
  <si>
    <t>ok até mar/2026</t>
  </si>
  <si>
    <t>01 e 02/2026 sem comprovantes e solicitar complemento de 15,00 taxa de set/2025 feita a menor em 07/2025</t>
  </si>
  <si>
    <t>01 e 02/2026 sem comprovantes  e solicitar complemento de 4 x 15,00 taxas de set a dez/2025 feita a menor em 05/2025</t>
  </si>
  <si>
    <t>i</t>
  </si>
  <si>
    <t>a</t>
  </si>
  <si>
    <t xml:space="preserve">f15 </t>
  </si>
  <si>
    <t>falta 15,00 de complemento p mês 10/2025 e em 2/2026 pg 160,00 dos mesese 11 e 12/2025 + 1 e 2/2026</t>
  </si>
  <si>
    <t>01 e 02/2026 sem comprovantes e De out/2024 a fev/2025 não consta comprovantes</t>
  </si>
  <si>
    <t>ok até junho-2026 + crédito de 30,00 em 01/2026</t>
  </si>
  <si>
    <t xml:space="preserve">ok até junho-2026 </t>
  </si>
  <si>
    <t>solicitar comprovantes a partir de jul-2024</t>
  </si>
  <si>
    <t>ok até Fev/2026</t>
  </si>
  <si>
    <t>Solicitar  comprovantes de mai a nov/2024 e de jun/2025 a jan/2026 - um pgt em 02/2026 no valor de 40,77</t>
  </si>
  <si>
    <t>ok até mar/2026 com crédito de 10,00 para abr/2026 referente a diferenças pagas a mais anteriores</t>
  </si>
  <si>
    <t>400,79 em 03/01</t>
  </si>
  <si>
    <t>ok até Jan/2026</t>
  </si>
  <si>
    <t>solicitar comprovantes a partir de set-2025</t>
  </si>
  <si>
    <t>01 e 02/2026 sem comprovantes - crédito de 30,00 para jan/2026</t>
  </si>
  <si>
    <t>ok até Jun/2026</t>
  </si>
  <si>
    <t>ok até Fev/2026 - Houve um depósito com código incorreto em out (46 em vez de 86)</t>
  </si>
  <si>
    <t>Nenhum lançamento a partir de 2024, inclusive.</t>
  </si>
  <si>
    <t>Possui informe de desligamento em abril/2024 e portanto nenenhum pagamento a partir de então.</t>
  </si>
  <si>
    <t>c10,00</t>
  </si>
  <si>
    <t xml:space="preserve">ok até agosto/2025 - Iniciou acerto nesta gestão a partir de 01/2024 com pendencia de 6 meses em 2023. Depositos em 05/2024 80,90 e 430,00 em 10/2025 - </t>
  </si>
  <si>
    <t>ok até junho-2025</t>
  </si>
  <si>
    <t>ok até dez-2025</t>
  </si>
  <si>
    <t>Nenhum lançamento a partir de 2023, inclusive.</t>
  </si>
  <si>
    <t>ok até abril-2026</t>
  </si>
  <si>
    <t>ok até dez-2025 - associado vem pagando 25,00 em vez de 40,00. tem crédito de 15,00 para janeiro.</t>
  </si>
  <si>
    <t>Não consta comprovantes de 2023 e 2024, comprovantes em 2025 somente de jan a abril 200,98 feito em abril/2025</t>
  </si>
  <si>
    <t>Em jul/2025 depositou 51,00 pagando mai e jun/2025. Em set foi depositado 50 +30 + 1 , provavelmente tentando ajustar ao valor da nova parcela. Em fev/26 depositou 120,00. Distribuindo nos meses a pagar resta crédito de 31,00 para dez/2025</t>
  </si>
  <si>
    <t>ok até dez 2026</t>
  </si>
  <si>
    <t>Não consta comprovantes a partir  de 2024, inclusive.</t>
  </si>
  <si>
    <t>ok até março-2026 - O associado fez pagamento de 101,07 em abril/2025 pagando 4 meses, não tenho como saber se vencidos ou a vencer. Considerei a vencer e marquei em amarelo os 4 meses seguintes. Desta forma está adimplente. Registros anteriores precários.</t>
  </si>
  <si>
    <t>ok até dez 2025</t>
  </si>
  <si>
    <t>ok até Fev 2026</t>
  </si>
  <si>
    <t>Sem comprovantes em 2024. Depositou 361,11 em set/2025. Pode-se considerar o deposito como pgto do ano 2025, mas onde está o comprovante de 2024?</t>
  </si>
  <si>
    <t xml:space="preserve">Sem comprovantes nov e dez/2025, jan e fev/2026 e Sem comprovantes em ago/2024 e fev/2025 . Complementar 15,00 nas contribuiçoes de set e out/2025. </t>
  </si>
  <si>
    <t>ok até set/2024 - único depósito feito em set 2025 no valor de 226,00</t>
  </si>
  <si>
    <t>ok até março 2024 - e depósito de 66,15 em out-2025</t>
  </si>
  <si>
    <t>ok até mar 2024</t>
  </si>
  <si>
    <t>ok até jun 2024</t>
  </si>
  <si>
    <t>Sem comprovante de jul a dez 2024 e ok de jan a dez de 2025. Sem comprovante jan e fev 2026.</t>
  </si>
  <si>
    <t>ok até março 2024</t>
  </si>
  <si>
    <t>Nas marcações da gestão anterior não consta registro de pgt de out, nov, dez-2024. Em 2025, ok até outubro e crédito de 5,00 para nov/2025. Sem comprovantes para nov e dez/2025 e jan e fev/2026.</t>
  </si>
  <si>
    <t>Nenhum comprovante a partir de 2024, inclusive.</t>
  </si>
  <si>
    <t xml:space="preserve">ok até agosto/2025 </t>
  </si>
  <si>
    <t>ok até out-2024</t>
  </si>
  <si>
    <t>Depósito de 875,00 em 05/2025 corresponde a que? A partir daí 2 dep. 51,27 jul/2025 e 281,27 fev/2026 , isso quita até fev/2026 com 15,00 de crédito p mar/2026.</t>
  </si>
  <si>
    <t>ok até ago 2024</t>
  </si>
  <si>
    <t>ok até dez-2024</t>
  </si>
  <si>
    <t>ok até nov-2025</t>
  </si>
  <si>
    <t>ok até mai-2026</t>
  </si>
  <si>
    <t>c20</t>
  </si>
  <si>
    <t>ok até dez-2025 com crédito de 20,00 para jan-2026</t>
  </si>
  <si>
    <t>Em 10/2025 pagou 160,24. Quitou meses  05 a 08 a 25,00 + mês 09 a 40,00  e restou c20,00 p/mês 10 -debito 200,00 ate fev/2026</t>
  </si>
  <si>
    <t>REGINA CLERIS ESTEVA</t>
  </si>
  <si>
    <t>325,00 de fev/2026 parc 1 da ligação // parc 2 sera 96/03 e contribuição a partir de março.</t>
  </si>
  <si>
    <t>c25</t>
  </si>
  <si>
    <t>ok até out-2025 com credito de 25,00 para nov/25</t>
  </si>
  <si>
    <t>controle incorreto</t>
  </si>
  <si>
    <t>c30,00</t>
  </si>
  <si>
    <t>ok até nov-2025, com credito de 30,00 p dez-2025 - Obs. Depósito em março de 480,00 p/2026 - completar 10,00 de dez-2025</t>
  </si>
  <si>
    <t>CONTROLE DE PAGAMENTO DE ASSOCIADOS DA ACASA, RECEBIDOS NO PERÍODO DE -2024 -2025 - 2026</t>
  </si>
  <si>
    <t xml:space="preserve"> 03-2026</t>
  </si>
  <si>
    <t xml:space="preserve"> 04-2026</t>
  </si>
  <si>
    <t xml:space="preserve"> 05-2026</t>
  </si>
  <si>
    <t xml:space="preserve"> 06-2026</t>
  </si>
  <si>
    <t xml:space="preserve"> 07-2026</t>
  </si>
  <si>
    <t xml:space="preserve"> 08-2026</t>
  </si>
  <si>
    <t xml:space="preserve"> 09-2026</t>
  </si>
  <si>
    <t xml:space="preserve"> 10-2026</t>
  </si>
  <si>
    <t xml:space="preserve"> 11-2026</t>
  </si>
  <si>
    <t xml:space="preserve"> 12-2026</t>
  </si>
  <si>
    <t>c40,00 +</t>
  </si>
  <si>
    <t>201,37 + 40,00</t>
  </si>
  <si>
    <t>160 ref 9,10,11 e 12-2025</t>
  </si>
  <si>
    <t>210,42 pg por wagner borges até 12-2025</t>
  </si>
  <si>
    <t>101,39 até março ok</t>
  </si>
  <si>
    <t>09-3 650,00</t>
  </si>
  <si>
    <t>17-03-480,00</t>
  </si>
  <si>
    <t>c60</t>
  </si>
  <si>
    <t>um dos depósitos de 40,00 deste mês refere-se ao 02 Sr. Adão</t>
  </si>
  <si>
    <t>ok ver lançamento duplicado para outros usuarios</t>
  </si>
  <si>
    <t>ok comprovao sem o registro de não identificado</t>
  </si>
  <si>
    <t>05/02 40,00</t>
  </si>
  <si>
    <t>c10 para janeiro2026</t>
  </si>
  <si>
    <t>41,35 paga jan-2026</t>
  </si>
  <si>
    <t>c30 do credito do dep 03-2026 240,45</t>
  </si>
  <si>
    <t>c5</t>
  </si>
  <si>
    <t>09-04 40,00</t>
  </si>
  <si>
    <t>13-04 240,00</t>
  </si>
  <si>
    <t>25,02 pg em 8-5-2026</t>
  </si>
  <si>
    <t>c 80</t>
  </si>
  <si>
    <t>c12</t>
  </si>
  <si>
    <t>c7,00</t>
  </si>
  <si>
    <t>revisar 2025 e ajustes após mês 8</t>
  </si>
  <si>
    <t>40,02 + 25,02 mês 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</si>
</sst>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yyyy"/>
    <numFmt numFmtId="165" formatCode="[$R$ -416]#,##0.00"/>
    <numFmt numFmtId="166" formatCode="d/m"/>
    <numFmt numFmtId="167" formatCode="&quot;R$&quot;\ #,##0.00"/>
  </numFmts>
  <fonts count="15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  <scheme val="minor"/>
    </font>
    <font>
      <sz val="11"/>
      <color rgb="FF3E5A74"/>
      <name val="Arial"/>
      <family val="2"/>
    </font>
    <font>
      <sz val="11"/>
      <color rgb="FFF59200"/>
      <name val="Caixa-std-bold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FF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4E9A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1F2F2"/>
        <bgColor rgb="FFF1F2F2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4CDFF"/>
        <bgColor indexed="64"/>
      </patternFill>
    </fill>
    <fill>
      <patternFill patternType="solid">
        <fgColor rgb="FFFF0000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1" xfId="0" applyNumberFormat="1" applyFont="1" applyBorder="1"/>
    <xf numFmtId="0" fontId="3" fillId="0" borderId="0" xfId="0" applyFont="1"/>
    <xf numFmtId="165" fontId="2" fillId="2" borderId="1" xfId="0" applyNumberFormat="1" applyFont="1" applyFill="1" applyBorder="1"/>
    <xf numFmtId="165" fontId="2" fillId="2" borderId="0" xfId="0" applyNumberFormat="1" applyFont="1" applyFill="1"/>
    <xf numFmtId="0" fontId="2" fillId="2" borderId="1" xfId="0" applyFont="1" applyFill="1" applyBorder="1"/>
    <xf numFmtId="165" fontId="2" fillId="0" borderId="0" xfId="0" applyNumberFormat="1" applyFont="1"/>
    <xf numFmtId="165" fontId="2" fillId="0" borderId="1" xfId="0" applyNumberFormat="1" applyFont="1" applyBorder="1"/>
    <xf numFmtId="165" fontId="2" fillId="3" borderId="1" xfId="0" applyNumberFormat="1" applyFont="1" applyFill="1" applyBorder="1"/>
    <xf numFmtId="165" fontId="2" fillId="3" borderId="0" xfId="0" applyNumberFormat="1" applyFont="1" applyFill="1"/>
    <xf numFmtId="0" fontId="3" fillId="4" borderId="0" xfId="0" applyFont="1" applyFill="1"/>
    <xf numFmtId="0" fontId="2" fillId="4" borderId="0" xfId="0" applyFont="1" applyFill="1"/>
    <xf numFmtId="165" fontId="2" fillId="2" borderId="1" xfId="0" applyNumberFormat="1" applyFont="1" applyFill="1" applyBorder="1" applyAlignment="1">
      <alignment horizontal="right"/>
    </xf>
    <xf numFmtId="0" fontId="2" fillId="3" borderId="1" xfId="0" applyFont="1" applyFill="1" applyBorder="1"/>
    <xf numFmtId="0" fontId="2" fillId="0" borderId="1" xfId="0" applyFont="1" applyBorder="1"/>
    <xf numFmtId="0" fontId="2" fillId="2" borderId="0" xfId="0" applyFont="1" applyFill="1"/>
    <xf numFmtId="166" fontId="2" fillId="3" borderId="0" xfId="0" applyNumberFormat="1" applyFont="1" applyFill="1"/>
    <xf numFmtId="0" fontId="4" fillId="5" borderId="0" xfId="0" applyFont="1" applyFill="1" applyAlignment="1">
      <alignment horizontal="left"/>
    </xf>
    <xf numFmtId="165" fontId="2" fillId="6" borderId="1" xfId="0" applyNumberFormat="1" applyFont="1" applyFill="1" applyBorder="1"/>
    <xf numFmtId="165" fontId="5" fillId="0" borderId="1" xfId="0" applyNumberFormat="1" applyFont="1" applyBorder="1"/>
    <xf numFmtId="0" fontId="2" fillId="7" borderId="0" xfId="0" applyFont="1" applyFill="1"/>
    <xf numFmtId="165" fontId="2" fillId="0" borderId="1" xfId="0" applyNumberFormat="1" applyFont="1" applyBorder="1" applyAlignment="1">
      <alignment horizontal="left"/>
    </xf>
    <xf numFmtId="0" fontId="2" fillId="6" borderId="0" xfId="0" applyFont="1" applyFill="1"/>
    <xf numFmtId="0" fontId="2" fillId="3" borderId="0" xfId="0" applyFont="1" applyFill="1"/>
    <xf numFmtId="0" fontId="6" fillId="5" borderId="0" xfId="0" applyFont="1" applyFill="1"/>
    <xf numFmtId="0" fontId="7" fillId="5" borderId="0" xfId="0" applyFont="1" applyFill="1"/>
    <xf numFmtId="4" fontId="2" fillId="0" borderId="0" xfId="0" applyNumberFormat="1" applyFont="1" applyAlignment="1">
      <alignment horizontal="left"/>
    </xf>
    <xf numFmtId="165" fontId="8" fillId="3" borderId="1" xfId="0" applyNumberFormat="1" applyFont="1" applyFill="1" applyBorder="1"/>
    <xf numFmtId="165" fontId="8" fillId="8" borderId="0" xfId="0" applyNumberFormat="1" applyFont="1" applyFill="1"/>
    <xf numFmtId="165" fontId="8" fillId="8" borderId="1" xfId="0" applyNumberFormat="1" applyFont="1" applyFill="1" applyBorder="1"/>
    <xf numFmtId="165" fontId="9" fillId="0" borderId="0" xfId="0" applyNumberFormat="1" applyFont="1"/>
    <xf numFmtId="165" fontId="2" fillId="8" borderId="0" xfId="0" applyNumberFormat="1" applyFont="1" applyFill="1"/>
    <xf numFmtId="165" fontId="2" fillId="8" borderId="1" xfId="0" applyNumberFormat="1" applyFont="1" applyFill="1" applyBorder="1"/>
    <xf numFmtId="0" fontId="0" fillId="8" borderId="0" xfId="0" applyFill="1"/>
    <xf numFmtId="165" fontId="9" fillId="8" borderId="1" xfId="0" applyNumberFormat="1" applyFont="1" applyFill="1" applyBorder="1"/>
    <xf numFmtId="0" fontId="10" fillId="0" borderId="0" xfId="0" applyFont="1"/>
    <xf numFmtId="167" fontId="2" fillId="8" borderId="1" xfId="0" applyNumberFormat="1" applyFont="1" applyFill="1" applyBorder="1"/>
    <xf numFmtId="167" fontId="2" fillId="0" borderId="0" xfId="0" applyNumberFormat="1" applyFont="1"/>
    <xf numFmtId="165" fontId="2" fillId="9" borderId="0" xfId="0" applyNumberFormat="1" applyFont="1" applyFill="1"/>
    <xf numFmtId="165" fontId="2" fillId="9" borderId="1" xfId="0" applyNumberFormat="1" applyFont="1" applyFill="1" applyBorder="1"/>
    <xf numFmtId="165" fontId="11" fillId="8" borderId="0" xfId="0" applyNumberFormat="1" applyFont="1" applyFill="1"/>
    <xf numFmtId="165" fontId="11" fillId="8" borderId="1" xfId="0" applyNumberFormat="1" applyFont="1" applyFill="1" applyBorder="1"/>
    <xf numFmtId="14" fontId="2" fillId="0" borderId="0" xfId="0" applyNumberFormat="1" applyFont="1"/>
    <xf numFmtId="0" fontId="5" fillId="0" borderId="0" xfId="0" applyFont="1"/>
    <xf numFmtId="4" fontId="0" fillId="0" borderId="0" xfId="0" applyNumberFormat="1"/>
    <xf numFmtId="14" fontId="0" fillId="0" borderId="0" xfId="0" applyNumberFormat="1"/>
    <xf numFmtId="165" fontId="2" fillId="11" borderId="1" xfId="0" applyNumberFormat="1" applyFont="1" applyFill="1" applyBorder="1"/>
    <xf numFmtId="165" fontId="2" fillId="12" borderId="1" xfId="0" applyNumberFormat="1" applyFont="1" applyFill="1" applyBorder="1"/>
    <xf numFmtId="165" fontId="2" fillId="12" borderId="0" xfId="0" applyNumberFormat="1" applyFont="1" applyFill="1"/>
    <xf numFmtId="165" fontId="2" fillId="13" borderId="0" xfId="0" applyNumberFormat="1" applyFont="1" applyFill="1"/>
    <xf numFmtId="165" fontId="2" fillId="13" borderId="1" xfId="0" applyNumberFormat="1" applyFont="1" applyFill="1" applyBorder="1"/>
    <xf numFmtId="165" fontId="2" fillId="10" borderId="0" xfId="0" applyNumberFormat="1" applyFont="1" applyFill="1"/>
    <xf numFmtId="165" fontId="2" fillId="11" borderId="0" xfId="0" applyNumberFormat="1" applyFont="1" applyFill="1"/>
    <xf numFmtId="0" fontId="13" fillId="0" borderId="0" xfId="0" applyFont="1"/>
    <xf numFmtId="165" fontId="9" fillId="8" borderId="0" xfId="0" applyNumberFormat="1" applyFont="1" applyFill="1"/>
    <xf numFmtId="165" fontId="2" fillId="17" borderId="1" xfId="0" applyNumberFormat="1" applyFont="1" applyFill="1" applyBorder="1"/>
    <xf numFmtId="2" fontId="2" fillId="14" borderId="0" xfId="0" applyNumberFormat="1" applyFont="1" applyFill="1"/>
    <xf numFmtId="2" fontId="2" fillId="15" borderId="0" xfId="0" applyNumberFormat="1" applyFont="1" applyFill="1"/>
    <xf numFmtId="2" fontId="2" fillId="16" borderId="0" xfId="0" applyNumberFormat="1" applyFont="1" applyFill="1"/>
    <xf numFmtId="2" fontId="2" fillId="0" borderId="0" xfId="0" applyNumberFormat="1" applyFont="1"/>
    <xf numFmtId="165" fontId="2" fillId="18" borderId="1" xfId="0" applyNumberFormat="1" applyFont="1" applyFill="1" applyBorder="1"/>
    <xf numFmtId="165" fontId="2" fillId="8" borderId="0" xfId="0" applyNumberFormat="1" applyFont="1" applyFill="1" applyAlignment="1">
      <alignment horizontal="right"/>
    </xf>
    <xf numFmtId="165" fontId="2" fillId="15" borderId="0" xfId="0" applyNumberFormat="1" applyFont="1" applyFill="1"/>
    <xf numFmtId="165" fontId="2" fillId="19" borderId="1" xfId="0" applyNumberFormat="1" applyFont="1" applyFill="1" applyBorder="1"/>
    <xf numFmtId="164" fontId="2" fillId="14" borderId="1" xfId="0" applyNumberFormat="1" applyFont="1" applyFill="1" applyBorder="1"/>
    <xf numFmtId="0" fontId="2" fillId="14" borderId="0" xfId="0" applyFont="1" applyFill="1"/>
    <xf numFmtId="0" fontId="5" fillId="16" borderId="0" xfId="0" applyFont="1" applyFill="1"/>
    <xf numFmtId="17" fontId="5" fillId="16" borderId="0" xfId="0" applyNumberFormat="1" applyFont="1" applyFill="1"/>
    <xf numFmtId="165" fontId="2" fillId="19" borderId="0" xfId="0" applyNumberFormat="1" applyFont="1" applyFill="1"/>
    <xf numFmtId="165" fontId="9" fillId="15" borderId="0" xfId="0" applyNumberFormat="1" applyFont="1" applyFill="1"/>
    <xf numFmtId="165" fontId="14" fillId="20" borderId="1" xfId="0" applyNumberFormat="1" applyFont="1" applyFill="1" applyBorder="1"/>
    <xf numFmtId="165" fontId="2" fillId="20" borderId="1" xfId="0" applyNumberFormat="1" applyFont="1" applyFill="1" applyBorder="1"/>
    <xf numFmtId="0" fontId="0" fillId="15" borderId="0" xfId="0" applyFill="1"/>
    <xf numFmtId="165" fontId="2" fillId="15" borderId="1" xfId="0" applyNumberFormat="1" applyFont="1" applyFill="1" applyBorder="1"/>
    <xf numFmtId="0" fontId="0" fillId="13" borderId="0" xfId="0" applyFill="1"/>
    <xf numFmtId="165" fontId="2" fillId="21" borderId="1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167" fontId="0" fillId="1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U1000"/>
  <sheetViews>
    <sheetView tabSelected="1" topLeftCell="A26" zoomScale="80" zoomScaleNormal="80" workbookViewId="0">
      <pane xSplit="1" topLeftCell="AH1" activePane="topRight" state="frozen"/>
      <selection activeCell="A76" sqref="A76"/>
      <selection pane="topRight" activeCell="BA48" sqref="BA48"/>
    </sheetView>
  </sheetViews>
  <sheetFormatPr defaultColWidth="12.5703125" defaultRowHeight="15.75" customHeight="1"/>
  <cols>
    <col min="1" max="1" width="4.85546875" customWidth="1"/>
    <col min="2" max="2" width="36.42578125" customWidth="1"/>
    <col min="3" max="3" width="10.140625" customWidth="1"/>
    <col min="4" max="4" width="12" bestFit="1" customWidth="1"/>
    <col min="5" max="5" width="9.7109375" customWidth="1"/>
    <col min="6" max="6" width="5.42578125" customWidth="1"/>
    <col min="7" max="7" width="10.7109375" customWidth="1"/>
    <col min="8" max="8" width="5.7109375" customWidth="1"/>
    <col min="9" max="9" width="11.7109375" bestFit="1" customWidth="1"/>
    <col min="10" max="10" width="8.85546875" customWidth="1"/>
    <col min="11" max="11" width="10" bestFit="1" customWidth="1"/>
    <col min="12" max="12" width="8.42578125" bestFit="1" customWidth="1"/>
    <col min="13" max="13" width="9.7109375" bestFit="1" customWidth="1"/>
    <col min="14" max="14" width="10" customWidth="1"/>
    <col min="15" max="15" width="9.7109375" customWidth="1"/>
    <col min="16" max="16" width="9.42578125" bestFit="1" customWidth="1"/>
    <col min="17" max="17" width="10" bestFit="1" customWidth="1"/>
    <col min="18" max="18" width="10.85546875" bestFit="1" customWidth="1"/>
    <col min="19" max="19" width="8.42578125" bestFit="1" customWidth="1"/>
    <col min="20" max="20" width="14.42578125" bestFit="1" customWidth="1"/>
    <col min="21" max="21" width="8.7109375" customWidth="1"/>
    <col min="22" max="22" width="9.5703125" customWidth="1"/>
    <col min="23" max="23" width="8.42578125" bestFit="1" customWidth="1"/>
    <col min="24" max="24" width="10.7109375" customWidth="1"/>
    <col min="25" max="25" width="13" customWidth="1"/>
    <col min="26" max="26" width="10.7109375" bestFit="1" customWidth="1"/>
    <col min="27" max="27" width="11.28515625" bestFit="1" customWidth="1"/>
    <col min="28" max="28" width="10.5703125" customWidth="1"/>
    <col min="29" max="29" width="8.85546875" customWidth="1"/>
    <col min="30" max="30" width="10.7109375" customWidth="1"/>
    <col min="31" max="31" width="9.5703125" customWidth="1"/>
    <col min="32" max="32" width="12.42578125" bestFit="1" customWidth="1"/>
    <col min="33" max="33" width="9.5703125" customWidth="1"/>
    <col min="34" max="34" width="10.7109375" customWidth="1"/>
    <col min="35" max="35" width="6.7109375" customWidth="1"/>
    <col min="36" max="36" width="10.7109375" customWidth="1"/>
    <col min="37" max="37" width="6.5703125" customWidth="1"/>
    <col min="38" max="38" width="11.7109375" bestFit="1" customWidth="1"/>
    <col min="39" max="39" width="5.7109375" customWidth="1"/>
    <col min="40" max="40" width="10" bestFit="1" customWidth="1"/>
    <col min="41" max="41" width="5.42578125" customWidth="1"/>
    <col min="42" max="42" width="12.28515625" bestFit="1" customWidth="1"/>
    <col min="43" max="43" width="11" bestFit="1" customWidth="1"/>
    <col min="44" max="44" width="11.5703125" bestFit="1" customWidth="1"/>
    <col min="45" max="45" width="5.7109375" customWidth="1"/>
    <col min="46" max="46" width="10" bestFit="1" customWidth="1"/>
    <col min="47" max="47" width="5.7109375" customWidth="1"/>
    <col min="48" max="48" width="10" bestFit="1" customWidth="1"/>
    <col min="64" max="64" width="36.42578125" customWidth="1"/>
  </cols>
  <sheetData>
    <row r="1" spans="1:73" ht="12.75">
      <c r="A1" s="78" t="s">
        <v>373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M1" s="1"/>
      <c r="BN1" s="1"/>
      <c r="BO1" s="1"/>
      <c r="BP1" s="1"/>
      <c r="BQ1" s="1"/>
      <c r="BR1" s="1"/>
      <c r="BS1" s="1"/>
      <c r="BT1" s="1"/>
      <c r="BU1" s="1"/>
    </row>
    <row r="2" spans="1:73" ht="12.75">
      <c r="A2" s="2" t="s">
        <v>0</v>
      </c>
      <c r="B2" s="2"/>
      <c r="C2" s="3">
        <v>45292</v>
      </c>
      <c r="D2" s="2" t="s">
        <v>2</v>
      </c>
      <c r="E2" s="3">
        <v>45323</v>
      </c>
      <c r="F2" s="2" t="s">
        <v>3</v>
      </c>
      <c r="G2" s="3">
        <v>45352</v>
      </c>
      <c r="H2" s="2" t="s">
        <v>4</v>
      </c>
      <c r="I2" s="3">
        <v>45383</v>
      </c>
      <c r="J2" s="2" t="s">
        <v>5</v>
      </c>
      <c r="K2" s="3">
        <v>45413</v>
      </c>
      <c r="L2" s="2" t="s">
        <v>6</v>
      </c>
      <c r="M2" s="3">
        <v>45444</v>
      </c>
      <c r="N2" s="2" t="s">
        <v>7</v>
      </c>
      <c r="O2" s="3">
        <v>45474</v>
      </c>
      <c r="P2" s="2" t="s">
        <v>8</v>
      </c>
      <c r="Q2" s="3">
        <v>45505</v>
      </c>
      <c r="R2" s="3">
        <v>45536</v>
      </c>
      <c r="S2" s="2" t="s">
        <v>9</v>
      </c>
      <c r="T2" s="3">
        <v>45566</v>
      </c>
      <c r="U2" s="2" t="s">
        <v>10</v>
      </c>
      <c r="V2" s="3">
        <v>45597</v>
      </c>
      <c r="W2" s="2" t="s">
        <v>11</v>
      </c>
      <c r="X2" s="3">
        <v>45627</v>
      </c>
      <c r="Y2" s="2" t="s">
        <v>12</v>
      </c>
      <c r="Z2" s="66">
        <v>45658</v>
      </c>
      <c r="AA2" s="67" t="s">
        <v>2</v>
      </c>
      <c r="AB2" s="66">
        <v>45689</v>
      </c>
      <c r="AC2" s="67" t="s">
        <v>3</v>
      </c>
      <c r="AD2" s="66">
        <v>45717</v>
      </c>
      <c r="AE2" s="67" t="s">
        <v>4</v>
      </c>
      <c r="AF2" s="66">
        <v>45748</v>
      </c>
      <c r="AG2" s="67" t="s">
        <v>5</v>
      </c>
      <c r="AH2" s="66">
        <v>45778</v>
      </c>
      <c r="AI2" s="67" t="s">
        <v>6</v>
      </c>
      <c r="AJ2" s="66">
        <v>45809</v>
      </c>
      <c r="AK2" s="67" t="s">
        <v>7</v>
      </c>
      <c r="AL2" s="66">
        <v>45839</v>
      </c>
      <c r="AM2" s="67" t="s">
        <v>8</v>
      </c>
      <c r="AN2" s="66">
        <v>45870</v>
      </c>
      <c r="AO2" s="67" t="s">
        <v>13</v>
      </c>
      <c r="AP2" s="66">
        <v>45901</v>
      </c>
      <c r="AQ2" s="67" t="s">
        <v>9</v>
      </c>
      <c r="AR2" s="66">
        <v>45931</v>
      </c>
      <c r="AS2" s="67" t="s">
        <v>10</v>
      </c>
      <c r="AT2" s="66">
        <v>45962</v>
      </c>
      <c r="AU2" s="67" t="s">
        <v>11</v>
      </c>
      <c r="AV2" s="66">
        <v>45992</v>
      </c>
      <c r="AW2" s="69">
        <v>46023</v>
      </c>
      <c r="AX2" s="69">
        <v>46054</v>
      </c>
      <c r="AY2" s="68" t="s">
        <v>374</v>
      </c>
      <c r="AZ2" s="68" t="s">
        <v>375</v>
      </c>
      <c r="BA2" s="68" t="s">
        <v>376</v>
      </c>
      <c r="BB2" s="68" t="s">
        <v>377</v>
      </c>
      <c r="BC2" s="68" t="s">
        <v>378</v>
      </c>
      <c r="BD2" s="68" t="s">
        <v>379</v>
      </c>
      <c r="BE2" s="68" t="s">
        <v>380</v>
      </c>
      <c r="BF2" s="68" t="s">
        <v>381</v>
      </c>
      <c r="BG2" s="68" t="s">
        <v>382</v>
      </c>
      <c r="BH2" s="68" t="s">
        <v>383</v>
      </c>
      <c r="BI2" s="45"/>
      <c r="BL2" s="2" t="s">
        <v>1</v>
      </c>
      <c r="BM2" s="55" t="s">
        <v>280</v>
      </c>
      <c r="BN2" s="55" t="s">
        <v>289</v>
      </c>
    </row>
    <row r="3" spans="1:73" ht="15">
      <c r="A3" s="2">
        <f t="shared" ref="A3:A138" si="0">ROW(A1)</f>
        <v>1</v>
      </c>
      <c r="B3" s="4" t="s">
        <v>14</v>
      </c>
      <c r="C3" s="5"/>
      <c r="D3" s="6"/>
      <c r="E3" s="5"/>
      <c r="F3" s="6"/>
      <c r="G3" s="5"/>
      <c r="H3" s="6"/>
      <c r="I3" s="5"/>
      <c r="J3" s="6"/>
      <c r="K3" s="5"/>
      <c r="L3" s="6"/>
      <c r="M3" s="5"/>
      <c r="N3" s="6"/>
      <c r="O3" s="7"/>
      <c r="P3" s="6">
        <v>150.01</v>
      </c>
      <c r="Q3" s="5"/>
      <c r="R3" s="5"/>
      <c r="S3" s="6"/>
      <c r="T3" s="5"/>
      <c r="U3" s="6"/>
      <c r="V3" s="5"/>
      <c r="W3" s="6"/>
      <c r="X3" s="5"/>
      <c r="Y3" s="6"/>
      <c r="Z3" s="5">
        <v>150.01</v>
      </c>
      <c r="AA3" s="6"/>
      <c r="AB3" s="5"/>
      <c r="AC3" s="6"/>
      <c r="AD3" s="5"/>
      <c r="AE3" s="6"/>
      <c r="AF3" s="5"/>
      <c r="AG3" s="6"/>
      <c r="AH3" s="5"/>
      <c r="AI3" s="6"/>
      <c r="AJ3" s="5"/>
      <c r="AK3" s="33"/>
      <c r="AL3" s="77">
        <v>210</v>
      </c>
      <c r="AM3" s="33"/>
      <c r="AN3" s="34"/>
      <c r="AO3" s="33"/>
      <c r="AP3" s="34"/>
      <c r="AQ3" s="33"/>
      <c r="AR3" s="34"/>
      <c r="AS3" s="33"/>
      <c r="AT3" s="34"/>
      <c r="AU3" s="33"/>
      <c r="AV3" s="34"/>
      <c r="AW3" s="64">
        <v>240.01</v>
      </c>
      <c r="AX3" s="64"/>
      <c r="AY3" s="74"/>
      <c r="AZ3" s="64"/>
      <c r="BA3" s="64"/>
      <c r="BB3" s="64"/>
      <c r="BC3" s="8"/>
      <c r="BD3" s="8"/>
      <c r="BE3" s="8"/>
      <c r="BF3" s="8"/>
      <c r="BG3" s="8"/>
      <c r="BH3" s="8"/>
      <c r="BI3" s="8"/>
      <c r="BJ3" s="8">
        <f t="shared" ref="BJ3:BJ12" si="1">SUM(C3:AX3)</f>
        <v>750.03</v>
      </c>
      <c r="BK3" s="8"/>
      <c r="BL3" s="4" t="s">
        <v>14</v>
      </c>
      <c r="BM3" s="58" t="s">
        <v>313</v>
      </c>
      <c r="BN3" t="s">
        <v>279</v>
      </c>
    </row>
    <row r="4" spans="1:73" ht="15">
      <c r="A4" s="2">
        <f t="shared" si="0"/>
        <v>2</v>
      </c>
      <c r="B4" s="4" t="s">
        <v>15</v>
      </c>
      <c r="C4" s="5"/>
      <c r="D4" s="6"/>
      <c r="E4" s="5"/>
      <c r="F4" s="6"/>
      <c r="G4" s="5"/>
      <c r="H4" s="6"/>
      <c r="I4" s="5"/>
      <c r="J4" s="6"/>
      <c r="K4" s="5">
        <v>25.02</v>
      </c>
      <c r="L4" s="6"/>
      <c r="M4" s="5">
        <v>25.02</v>
      </c>
      <c r="N4" s="6"/>
      <c r="O4" s="5">
        <v>25.02</v>
      </c>
      <c r="P4" s="6"/>
      <c r="Q4" s="5">
        <v>25.02</v>
      </c>
      <c r="R4" s="72" t="s">
        <v>57</v>
      </c>
      <c r="S4" s="6"/>
      <c r="T4" s="5">
        <v>25.02</v>
      </c>
      <c r="U4" s="6"/>
      <c r="V4" s="5">
        <v>25.02</v>
      </c>
      <c r="W4" s="6"/>
      <c r="X4" s="5">
        <v>25.02</v>
      </c>
      <c r="Y4" s="6"/>
      <c r="Z4" s="73" t="s">
        <v>57</v>
      </c>
      <c r="AA4" s="8"/>
      <c r="AB4" s="10">
        <v>25.02</v>
      </c>
      <c r="AC4" s="8"/>
      <c r="AD4" s="73" t="s">
        <v>57</v>
      </c>
      <c r="AE4" s="8"/>
      <c r="AF4" s="73" t="s">
        <v>57</v>
      </c>
      <c r="AG4" s="8"/>
      <c r="AH4" s="10">
        <v>25.02</v>
      </c>
      <c r="AI4" s="8"/>
      <c r="AJ4" s="73" t="s">
        <v>57</v>
      </c>
      <c r="AK4" s="8"/>
      <c r="AL4" s="75" t="s">
        <v>402</v>
      </c>
      <c r="AM4" s="8" t="s">
        <v>79</v>
      </c>
      <c r="AN4" s="34">
        <v>25.02</v>
      </c>
      <c r="AO4" s="8"/>
      <c r="AP4" s="73" t="s">
        <v>57</v>
      </c>
      <c r="AQ4" s="8"/>
      <c r="AR4" s="73" t="s">
        <v>57</v>
      </c>
      <c r="AS4" s="8"/>
      <c r="AT4" s="73" t="s">
        <v>393</v>
      </c>
      <c r="AU4" s="8" t="s">
        <v>79</v>
      </c>
      <c r="AV4" s="73" t="s">
        <v>394</v>
      </c>
      <c r="AW4" s="64">
        <v>40</v>
      </c>
      <c r="AX4" s="64">
        <v>40</v>
      </c>
      <c r="AY4" s="64">
        <v>40.020000000000003</v>
      </c>
      <c r="AZ4" s="64">
        <v>40.020000000000003</v>
      </c>
      <c r="BA4" s="64" t="s">
        <v>407</v>
      </c>
      <c r="BB4" s="8"/>
      <c r="BC4" s="8"/>
      <c r="BD4" s="8"/>
      <c r="BE4" s="8"/>
      <c r="BF4" s="8"/>
      <c r="BG4" s="8"/>
      <c r="BH4" s="8"/>
      <c r="BI4" s="8"/>
      <c r="BJ4" s="8">
        <f t="shared" si="1"/>
        <v>330.20000000000005</v>
      </c>
      <c r="BK4" s="8"/>
      <c r="BL4" s="4" t="s">
        <v>15</v>
      </c>
      <c r="BM4" s="58" t="s">
        <v>313</v>
      </c>
      <c r="BN4" t="s">
        <v>281</v>
      </c>
    </row>
    <row r="5" spans="1:73" ht="15">
      <c r="A5" s="2">
        <f t="shared" si="0"/>
        <v>3</v>
      </c>
      <c r="B5" s="4" t="s">
        <v>16</v>
      </c>
      <c r="C5" s="5"/>
      <c r="D5" s="6"/>
      <c r="E5" s="5"/>
      <c r="F5" s="6"/>
      <c r="G5" s="5"/>
      <c r="H5" s="6"/>
      <c r="I5" s="5"/>
      <c r="J5" s="6"/>
      <c r="K5" s="5"/>
      <c r="L5" s="6"/>
      <c r="M5" s="5"/>
      <c r="N5" s="6"/>
      <c r="O5" s="5">
        <v>150.03</v>
      </c>
      <c r="P5" s="6"/>
      <c r="Q5" s="5"/>
      <c r="R5" s="5">
        <v>225.03</v>
      </c>
      <c r="S5" s="6"/>
      <c r="T5" s="5"/>
      <c r="U5" s="6"/>
      <c r="V5" s="5"/>
      <c r="W5" s="6"/>
      <c r="X5" s="5"/>
      <c r="Y5" s="11"/>
      <c r="Z5" s="10"/>
      <c r="AA5" s="11"/>
      <c r="AB5" s="10"/>
      <c r="AC5" s="11"/>
      <c r="AD5" s="10"/>
      <c r="AE5" s="11"/>
      <c r="AF5" s="10"/>
      <c r="AG5" s="11"/>
      <c r="AH5" s="10"/>
      <c r="AI5" s="33"/>
      <c r="AJ5" s="34">
        <v>50.03</v>
      </c>
      <c r="AK5" s="33" t="s">
        <v>17</v>
      </c>
      <c r="AL5" s="34">
        <v>175.03</v>
      </c>
      <c r="AM5" s="33" t="s">
        <v>18</v>
      </c>
      <c r="AN5" s="34"/>
      <c r="AO5" s="33"/>
      <c r="AP5" s="75" t="s">
        <v>241</v>
      </c>
      <c r="AQ5" s="64"/>
      <c r="AR5" s="75"/>
      <c r="AS5" s="64"/>
      <c r="AT5" s="75"/>
      <c r="AU5" s="64"/>
      <c r="AV5" s="75"/>
      <c r="AW5" s="64"/>
      <c r="AX5" s="64">
        <v>400.03</v>
      </c>
      <c r="AY5" s="64"/>
      <c r="AZ5" s="64"/>
      <c r="BA5" s="64"/>
      <c r="BB5" s="64"/>
      <c r="BC5" s="8" t="s">
        <v>254</v>
      </c>
      <c r="BD5" s="8"/>
      <c r="BE5" s="8"/>
      <c r="BF5" s="8"/>
      <c r="BG5" s="8"/>
      <c r="BH5" s="8"/>
      <c r="BI5" s="8"/>
      <c r="BJ5" s="8">
        <f t="shared" si="1"/>
        <v>1000.15</v>
      </c>
      <c r="BK5" s="8"/>
      <c r="BL5" s="4" t="s">
        <v>16</v>
      </c>
      <c r="BM5" s="58" t="s">
        <v>313</v>
      </c>
      <c r="BN5" t="s">
        <v>282</v>
      </c>
    </row>
    <row r="6" spans="1:73" ht="15">
      <c r="A6" s="2">
        <f t="shared" si="0"/>
        <v>4</v>
      </c>
      <c r="B6" s="4" t="s">
        <v>19</v>
      </c>
      <c r="C6" s="5"/>
      <c r="D6" s="6"/>
      <c r="E6" s="5"/>
      <c r="F6" s="6"/>
      <c r="G6" s="5"/>
      <c r="H6" s="6"/>
      <c r="I6" s="5"/>
      <c r="J6" s="6"/>
      <c r="K6" s="5"/>
      <c r="L6" s="6"/>
      <c r="M6" s="5"/>
      <c r="N6" s="6"/>
      <c r="O6" s="5"/>
      <c r="P6" s="6"/>
      <c r="Q6" s="5"/>
      <c r="R6" s="5"/>
      <c r="S6" s="6"/>
      <c r="T6" s="5"/>
      <c r="U6" s="6"/>
      <c r="V6" s="5"/>
      <c r="W6" s="6"/>
      <c r="X6" s="5"/>
      <c r="Y6" s="8"/>
      <c r="Z6" s="9"/>
      <c r="AA6" s="8"/>
      <c r="AB6" s="9"/>
      <c r="AC6" s="8"/>
      <c r="AD6" s="9"/>
      <c r="AE6" s="8"/>
      <c r="AF6" s="9"/>
      <c r="AG6" s="8"/>
      <c r="AH6" s="9"/>
      <c r="AI6" s="8"/>
      <c r="AJ6" s="9"/>
      <c r="AK6" s="8"/>
      <c r="AL6" s="9"/>
      <c r="AM6" s="8"/>
      <c r="AN6" s="9"/>
      <c r="AO6" s="8"/>
      <c r="AP6" s="9"/>
      <c r="AQ6" s="8"/>
      <c r="AR6" s="9"/>
      <c r="AS6" s="8"/>
      <c r="AT6" s="9"/>
      <c r="AU6" s="8"/>
      <c r="AV6" s="9"/>
      <c r="AW6" s="8"/>
      <c r="AX6" s="8"/>
      <c r="AY6" s="8">
        <v>200.04</v>
      </c>
      <c r="AZ6" s="8"/>
      <c r="BA6" s="8"/>
      <c r="BB6" s="8"/>
      <c r="BC6" s="8"/>
      <c r="BD6" s="8"/>
      <c r="BE6" s="8"/>
      <c r="BF6" s="8"/>
      <c r="BG6" s="8"/>
      <c r="BH6" s="8"/>
      <c r="BI6" s="8"/>
      <c r="BJ6" s="8">
        <f t="shared" si="1"/>
        <v>0</v>
      </c>
      <c r="BK6" s="8"/>
      <c r="BL6" s="4" t="s">
        <v>19</v>
      </c>
      <c r="BM6" s="58" t="s">
        <v>313</v>
      </c>
      <c r="BN6" t="s">
        <v>283</v>
      </c>
    </row>
    <row r="7" spans="1:73" ht="15">
      <c r="A7" s="2">
        <f t="shared" si="0"/>
        <v>5</v>
      </c>
      <c r="B7" s="4" t="s">
        <v>20</v>
      </c>
      <c r="C7" s="5">
        <v>300.05</v>
      </c>
      <c r="D7" s="6"/>
      <c r="E7" s="5"/>
      <c r="F7" s="6"/>
      <c r="G7" s="5"/>
      <c r="H7" s="6"/>
      <c r="I7" s="5"/>
      <c r="J7" s="6"/>
      <c r="K7" s="5"/>
      <c r="L7" s="6"/>
      <c r="M7" s="5"/>
      <c r="N7" s="6"/>
      <c r="O7" s="5"/>
      <c r="P7" s="6"/>
      <c r="Q7" s="5"/>
      <c r="R7" s="5"/>
      <c r="S7" s="6"/>
      <c r="T7" s="5"/>
      <c r="U7" s="6"/>
      <c r="V7" s="5"/>
      <c r="W7" s="6"/>
      <c r="X7" s="5">
        <v>300.05</v>
      </c>
      <c r="Y7" s="6"/>
      <c r="Z7" s="5"/>
      <c r="AA7" s="6"/>
      <c r="AB7" s="5"/>
      <c r="AC7" s="6"/>
      <c r="AD7" s="5"/>
      <c r="AE7" s="6"/>
      <c r="AF7" s="5"/>
      <c r="AG7" s="6"/>
      <c r="AH7" s="5"/>
      <c r="AI7" s="6"/>
      <c r="AJ7" s="5"/>
      <c r="AK7" s="6"/>
      <c r="AL7" s="5"/>
      <c r="AM7" s="6"/>
      <c r="AN7" s="5"/>
      <c r="AO7" s="6"/>
      <c r="AP7" s="5"/>
      <c r="AQ7" s="6"/>
      <c r="AR7" s="5"/>
      <c r="AS7" s="6"/>
      <c r="AT7" s="5"/>
      <c r="AU7" s="6"/>
      <c r="AV7" s="5"/>
      <c r="AW7" s="64" t="s">
        <v>262</v>
      </c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8"/>
      <c r="BJ7" s="8">
        <f t="shared" si="1"/>
        <v>600.1</v>
      </c>
      <c r="BK7" s="8"/>
      <c r="BL7" s="4" t="s">
        <v>20</v>
      </c>
      <c r="BM7" s="59" t="s">
        <v>314</v>
      </c>
      <c r="BN7" t="s">
        <v>303</v>
      </c>
    </row>
    <row r="8" spans="1:73" ht="15">
      <c r="A8" s="2">
        <f t="shared" si="0"/>
        <v>6</v>
      </c>
      <c r="B8" s="4" t="s">
        <v>21</v>
      </c>
      <c r="C8" s="5"/>
      <c r="D8" s="6"/>
      <c r="E8" s="5"/>
      <c r="F8" s="6"/>
      <c r="G8" s="5"/>
      <c r="H8" s="6"/>
      <c r="I8" s="5"/>
      <c r="J8" s="6"/>
      <c r="K8" s="5"/>
      <c r="L8" s="6"/>
      <c r="M8" s="5"/>
      <c r="N8" s="6"/>
      <c r="O8" s="5"/>
      <c r="P8" s="6"/>
      <c r="Q8" s="5"/>
      <c r="R8" s="5"/>
      <c r="S8" s="6"/>
      <c r="T8" s="5"/>
      <c r="U8" s="6"/>
      <c r="V8" s="5">
        <v>300.06</v>
      </c>
      <c r="W8" s="6"/>
      <c r="X8" s="5"/>
      <c r="Y8" s="33"/>
      <c r="Z8" s="34"/>
      <c r="AA8" s="33"/>
      <c r="AB8" s="34"/>
      <c r="AC8" s="33"/>
      <c r="AD8" s="34"/>
      <c r="AE8" s="33"/>
      <c r="AF8" s="34"/>
      <c r="AG8" s="33"/>
      <c r="AH8" s="34"/>
      <c r="AI8" s="33"/>
      <c r="AJ8" s="34"/>
      <c r="AK8" s="33"/>
      <c r="AL8" s="34"/>
      <c r="AM8" s="33"/>
      <c r="AN8" s="34"/>
      <c r="AO8" s="33"/>
      <c r="AP8" s="34">
        <v>360</v>
      </c>
      <c r="AQ8" s="33"/>
      <c r="AR8" s="34"/>
      <c r="AS8" s="33"/>
      <c r="AT8" s="34"/>
      <c r="AU8" s="33"/>
      <c r="AV8" s="34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>
        <f t="shared" si="1"/>
        <v>660.06</v>
      </c>
      <c r="BK8" s="8"/>
      <c r="BL8" s="4" t="s">
        <v>21</v>
      </c>
      <c r="BM8" s="58" t="s">
        <v>313</v>
      </c>
      <c r="BN8" t="s">
        <v>335</v>
      </c>
    </row>
    <row r="9" spans="1:73" ht="15">
      <c r="A9" s="2">
        <f>ROW(A7)</f>
        <v>7</v>
      </c>
      <c r="B9" s="4" t="s">
        <v>22</v>
      </c>
      <c r="C9" s="5"/>
      <c r="D9" s="6"/>
      <c r="E9" s="5">
        <v>150.07</v>
      </c>
      <c r="F9" s="6"/>
      <c r="G9" s="5"/>
      <c r="H9" s="6"/>
      <c r="I9" s="5"/>
      <c r="J9" s="6"/>
      <c r="K9" s="5"/>
      <c r="L9" s="6"/>
      <c r="M9" s="5"/>
      <c r="N9" s="6"/>
      <c r="O9" s="5">
        <v>150.07</v>
      </c>
      <c r="P9" s="6"/>
      <c r="Q9" s="5"/>
      <c r="R9" s="5"/>
      <c r="S9" s="6"/>
      <c r="T9" s="5"/>
      <c r="U9" s="6"/>
      <c r="V9" s="5"/>
      <c r="W9" s="6"/>
      <c r="X9" s="5"/>
      <c r="Y9" s="6"/>
      <c r="Z9" s="5"/>
      <c r="AA9" s="6"/>
      <c r="AB9" s="5">
        <v>150.07</v>
      </c>
      <c r="AC9" s="6"/>
      <c r="AD9" s="5"/>
      <c r="AE9" s="6"/>
      <c r="AF9" s="5"/>
      <c r="AG9" s="6"/>
      <c r="AH9" s="5"/>
      <c r="AI9" s="6"/>
      <c r="AJ9" s="5" t="s">
        <v>265</v>
      </c>
      <c r="AK9" s="33"/>
      <c r="AL9" s="34"/>
      <c r="AM9" s="33"/>
      <c r="AN9" s="34"/>
      <c r="AO9" s="33"/>
      <c r="AP9" s="34"/>
      <c r="AQ9" s="33"/>
      <c r="AR9" s="34"/>
      <c r="AS9" s="33"/>
      <c r="AT9" s="34"/>
      <c r="AU9" s="33"/>
      <c r="AV9" s="34"/>
      <c r="AW9" s="64"/>
      <c r="AX9" s="64" t="s">
        <v>278</v>
      </c>
      <c r="AY9" s="64">
        <v>40.07</v>
      </c>
      <c r="AZ9" s="64">
        <v>40.07</v>
      </c>
      <c r="BA9" s="8"/>
      <c r="BB9" s="8"/>
      <c r="BC9" s="8"/>
      <c r="BD9" s="8"/>
      <c r="BE9" s="8"/>
      <c r="BF9" s="8"/>
      <c r="BG9" s="8"/>
      <c r="BH9" s="8"/>
      <c r="BI9" s="8"/>
      <c r="BJ9" s="8">
        <f t="shared" si="1"/>
        <v>450.21</v>
      </c>
      <c r="BK9" s="8"/>
      <c r="BL9" s="4" t="s">
        <v>22</v>
      </c>
      <c r="BM9" s="59" t="s">
        <v>314</v>
      </c>
      <c r="BN9" t="s">
        <v>299</v>
      </c>
    </row>
    <row r="10" spans="1:73" ht="15">
      <c r="A10" s="2">
        <f t="shared" si="0"/>
        <v>8</v>
      </c>
      <c r="B10" s="4" t="s">
        <v>23</v>
      </c>
      <c r="C10" s="5"/>
      <c r="D10" s="6"/>
      <c r="E10" s="5"/>
      <c r="F10" s="6"/>
      <c r="G10" s="5"/>
      <c r="H10" s="6"/>
      <c r="I10" s="5"/>
      <c r="J10" s="6"/>
      <c r="K10" s="5"/>
      <c r="L10" s="6"/>
      <c r="M10" s="5">
        <v>150.08000000000001</v>
      </c>
      <c r="N10" s="6"/>
      <c r="O10" s="5"/>
      <c r="P10" s="6"/>
      <c r="Q10" s="5"/>
      <c r="R10" s="5"/>
      <c r="S10" s="6"/>
      <c r="T10" s="5"/>
      <c r="U10" s="6"/>
      <c r="V10" s="5"/>
      <c r="W10" s="6"/>
      <c r="X10" s="5"/>
      <c r="Y10" s="11"/>
      <c r="Z10" s="10">
        <v>150</v>
      </c>
      <c r="AA10" s="11"/>
      <c r="AB10" s="10"/>
      <c r="AC10" s="11"/>
      <c r="AD10" s="10"/>
      <c r="AE10" s="11"/>
      <c r="AF10" s="10"/>
      <c r="AG10" s="11"/>
      <c r="AH10" s="10"/>
      <c r="AI10" s="11"/>
      <c r="AJ10" s="10">
        <v>300.08</v>
      </c>
      <c r="AK10" s="11"/>
      <c r="AL10" s="10">
        <v>150.08000000000001</v>
      </c>
      <c r="AM10" s="11"/>
      <c r="AN10" s="10"/>
      <c r="AO10" s="8"/>
      <c r="AP10" s="9"/>
      <c r="AQ10" s="8"/>
      <c r="AR10" s="9"/>
      <c r="AS10" s="8"/>
      <c r="AT10" s="9"/>
      <c r="AU10" s="8"/>
      <c r="AV10" s="9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>
        <f t="shared" si="1"/>
        <v>750.24000000000012</v>
      </c>
      <c r="BK10" s="8"/>
      <c r="BL10" s="4" t="s">
        <v>23</v>
      </c>
      <c r="BM10" s="58" t="s">
        <v>313</v>
      </c>
      <c r="BN10" s="45" t="s">
        <v>284</v>
      </c>
    </row>
    <row r="11" spans="1:73" ht="15">
      <c r="A11" s="2">
        <f t="shared" si="0"/>
        <v>9</v>
      </c>
      <c r="B11" s="4" t="s">
        <v>24</v>
      </c>
      <c r="C11" s="5"/>
      <c r="D11" s="6"/>
      <c r="E11" s="5"/>
      <c r="F11" s="6"/>
      <c r="G11" s="5"/>
      <c r="H11" s="6"/>
      <c r="I11" s="5"/>
      <c r="J11" s="6"/>
      <c r="K11" s="5">
        <v>100.09</v>
      </c>
      <c r="L11" s="6">
        <v>25.09</v>
      </c>
      <c r="M11" s="5"/>
      <c r="N11" s="6"/>
      <c r="O11" s="5">
        <v>25.09</v>
      </c>
      <c r="P11" s="6">
        <v>25.09</v>
      </c>
      <c r="Q11" s="5"/>
      <c r="R11" s="5">
        <v>25.09</v>
      </c>
      <c r="S11" s="6"/>
      <c r="T11" s="5">
        <v>100.09</v>
      </c>
      <c r="U11" s="6">
        <v>25.09</v>
      </c>
      <c r="V11" s="5">
        <v>25.09</v>
      </c>
      <c r="W11" s="6">
        <v>25.09</v>
      </c>
      <c r="X11" s="5"/>
      <c r="Y11" s="11"/>
      <c r="Z11" s="10"/>
      <c r="AA11" s="11"/>
      <c r="AB11" s="10"/>
      <c r="AC11" s="11"/>
      <c r="AD11" s="10"/>
      <c r="AE11" s="11"/>
      <c r="AF11" s="10"/>
      <c r="AG11" s="11"/>
      <c r="AH11" s="10">
        <v>150.09</v>
      </c>
      <c r="AI11" s="11"/>
      <c r="AJ11" s="10"/>
      <c r="AK11" s="33"/>
      <c r="AL11" s="34"/>
      <c r="AM11" s="33"/>
      <c r="AN11" s="35"/>
      <c r="AO11" s="33"/>
      <c r="AP11" s="35"/>
      <c r="AQ11" s="33"/>
      <c r="AR11" s="34"/>
      <c r="AS11" s="8"/>
      <c r="AT11" s="9"/>
      <c r="AU11" s="8"/>
      <c r="AV11" s="9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>
        <f t="shared" si="1"/>
        <v>525.9</v>
      </c>
      <c r="BK11" s="8"/>
      <c r="BL11" s="4" t="s">
        <v>24</v>
      </c>
      <c r="BM11" s="58" t="s">
        <v>313</v>
      </c>
      <c r="BN11" s="45" t="s">
        <v>285</v>
      </c>
    </row>
    <row r="12" spans="1:73" ht="15">
      <c r="A12" s="2">
        <f t="shared" si="0"/>
        <v>10</v>
      </c>
      <c r="B12" s="4" t="s">
        <v>25</v>
      </c>
      <c r="C12" s="5"/>
      <c r="D12" s="6"/>
      <c r="E12" s="5"/>
      <c r="F12" s="6"/>
      <c r="G12" s="5">
        <v>150.1</v>
      </c>
      <c r="H12" s="6"/>
      <c r="I12" s="5"/>
      <c r="J12" s="6"/>
      <c r="K12" s="5"/>
      <c r="L12" s="6"/>
      <c r="M12" s="5"/>
      <c r="N12" s="6"/>
      <c r="O12" s="5">
        <v>150.1</v>
      </c>
      <c r="P12" s="11"/>
      <c r="Q12" s="10"/>
      <c r="R12" s="10"/>
      <c r="S12" s="11"/>
      <c r="T12" s="10"/>
      <c r="U12" s="11"/>
      <c r="V12" s="10"/>
      <c r="W12" s="11"/>
      <c r="X12" s="10"/>
      <c r="Y12" s="11"/>
      <c r="Z12" s="10"/>
      <c r="AA12" s="33"/>
      <c r="AB12" s="34"/>
      <c r="AC12" s="33"/>
      <c r="AD12" s="34">
        <v>150.1</v>
      </c>
      <c r="AE12" s="33"/>
      <c r="AF12" s="34"/>
      <c r="AG12" s="33"/>
      <c r="AH12" s="34"/>
      <c r="AI12" s="33"/>
      <c r="AJ12" s="34"/>
      <c r="AK12" s="33"/>
      <c r="AL12" s="34"/>
      <c r="AM12" s="33"/>
      <c r="AN12" s="34">
        <v>210.1</v>
      </c>
      <c r="AO12" s="33"/>
      <c r="AP12" s="34"/>
      <c r="AQ12" s="33"/>
      <c r="AR12" s="34"/>
      <c r="AS12" s="33"/>
      <c r="AT12" s="34"/>
      <c r="AU12" s="33"/>
      <c r="AV12" s="34"/>
      <c r="AW12" s="64"/>
      <c r="AX12" s="64">
        <v>240.1</v>
      </c>
      <c r="AY12" s="64"/>
      <c r="AZ12" s="64"/>
      <c r="BA12" s="64"/>
      <c r="BB12" s="64"/>
      <c r="BC12" s="8"/>
      <c r="BD12" s="8"/>
      <c r="BE12" s="8"/>
      <c r="BF12" s="8"/>
      <c r="BG12" s="8"/>
      <c r="BH12" s="8"/>
      <c r="BI12" s="8"/>
      <c r="BJ12" s="8">
        <f t="shared" si="1"/>
        <v>900.5</v>
      </c>
      <c r="BK12" s="8"/>
      <c r="BL12" s="4" t="s">
        <v>25</v>
      </c>
      <c r="BM12" s="59" t="s">
        <v>314</v>
      </c>
      <c r="BN12" t="s">
        <v>294</v>
      </c>
    </row>
    <row r="13" spans="1:73" ht="15">
      <c r="A13" s="2">
        <f t="shared" si="0"/>
        <v>11</v>
      </c>
      <c r="B13" s="4" t="s">
        <v>26</v>
      </c>
      <c r="C13" s="5"/>
      <c r="D13" s="6"/>
      <c r="E13" s="5"/>
      <c r="F13" s="6"/>
      <c r="G13" s="5"/>
      <c r="H13" s="6"/>
      <c r="I13" s="5"/>
      <c r="J13" s="6"/>
      <c r="K13" s="5"/>
      <c r="L13" s="6"/>
      <c r="M13" s="5"/>
      <c r="N13" s="6"/>
      <c r="O13" s="5"/>
      <c r="P13" s="6"/>
      <c r="Q13" s="5"/>
      <c r="R13" s="5"/>
      <c r="S13" s="6"/>
      <c r="T13" s="5"/>
      <c r="U13" s="6"/>
      <c r="V13" s="5"/>
      <c r="W13" s="6"/>
      <c r="X13" s="5">
        <v>250.11</v>
      </c>
      <c r="Y13" s="11"/>
      <c r="Z13" s="10"/>
      <c r="AA13" s="11"/>
      <c r="AB13" s="10"/>
      <c r="AC13" s="11"/>
      <c r="AD13" s="10"/>
      <c r="AE13" s="11"/>
      <c r="AF13" s="10"/>
      <c r="AG13" s="11"/>
      <c r="AH13" s="10">
        <v>200.11</v>
      </c>
      <c r="AI13" s="11"/>
      <c r="AJ13" s="10"/>
      <c r="AK13" s="11"/>
      <c r="AL13" s="10"/>
      <c r="AM13" s="11"/>
      <c r="AN13" s="34">
        <v>40.11</v>
      </c>
      <c r="AO13" s="33"/>
      <c r="AP13" s="34">
        <v>40.11</v>
      </c>
      <c r="AQ13" s="33"/>
      <c r="AR13" s="34">
        <v>40.11</v>
      </c>
      <c r="AS13" s="33"/>
      <c r="AT13" s="34">
        <v>40.11</v>
      </c>
      <c r="AU13" s="33"/>
      <c r="AV13" s="34">
        <v>40.11</v>
      </c>
      <c r="AW13" s="64" t="s">
        <v>269</v>
      </c>
      <c r="AX13" s="64">
        <v>40.11</v>
      </c>
      <c r="AY13" s="64">
        <v>40.11</v>
      </c>
      <c r="AZ13" s="64">
        <v>40.11</v>
      </c>
      <c r="BA13" s="8"/>
      <c r="BB13" s="8"/>
      <c r="BC13" s="8"/>
      <c r="BD13" s="8"/>
      <c r="BE13" s="8"/>
      <c r="BF13" s="8"/>
      <c r="BG13" s="8"/>
      <c r="BH13" s="8"/>
      <c r="BI13" s="8"/>
      <c r="BJ13" s="8">
        <f>SUM(C13:AZ13)</f>
        <v>771.10000000000014</v>
      </c>
      <c r="BK13" s="8"/>
      <c r="BL13" s="4" t="s">
        <v>26</v>
      </c>
      <c r="BM13" s="59" t="s">
        <v>314</v>
      </c>
      <c r="BN13" t="s">
        <v>295</v>
      </c>
    </row>
    <row r="14" spans="1:73" ht="15">
      <c r="A14" s="2">
        <f t="shared" si="0"/>
        <v>12</v>
      </c>
      <c r="B14" s="4" t="s">
        <v>27</v>
      </c>
      <c r="C14" s="5"/>
      <c r="D14" s="6"/>
      <c r="E14" s="5"/>
      <c r="F14" s="6"/>
      <c r="G14" s="5">
        <v>75</v>
      </c>
      <c r="H14" s="6"/>
      <c r="I14" s="5"/>
      <c r="J14" s="6"/>
      <c r="K14" s="5"/>
      <c r="L14" s="6"/>
      <c r="M14" s="5">
        <v>75.12</v>
      </c>
      <c r="N14" s="6"/>
      <c r="O14" s="5">
        <v>75.12</v>
      </c>
      <c r="P14" s="6"/>
      <c r="Q14" s="5"/>
      <c r="R14" s="5"/>
      <c r="S14" s="6"/>
      <c r="T14" s="5"/>
      <c r="U14" s="6"/>
      <c r="V14" s="5"/>
      <c r="W14" s="6"/>
      <c r="X14" s="5">
        <v>75.12</v>
      </c>
      <c r="Y14" s="6"/>
      <c r="Z14" s="5">
        <v>75.12</v>
      </c>
      <c r="AA14" s="6"/>
      <c r="AB14" s="5">
        <v>26.12</v>
      </c>
      <c r="AC14" s="6"/>
      <c r="AD14" s="5"/>
      <c r="AE14" s="11"/>
      <c r="AF14" s="10"/>
      <c r="AG14" s="11"/>
      <c r="AH14" s="10"/>
      <c r="AI14" s="11"/>
      <c r="AJ14" s="10">
        <v>75</v>
      </c>
      <c r="AK14" s="33"/>
      <c r="AL14" s="34"/>
      <c r="AM14" s="33"/>
      <c r="AN14" s="34">
        <v>50.12</v>
      </c>
      <c r="AO14" s="8"/>
      <c r="AP14" s="9"/>
      <c r="AQ14" s="8"/>
      <c r="AR14" s="9"/>
      <c r="AS14" s="8"/>
      <c r="AT14" s="9"/>
      <c r="AU14" s="8"/>
      <c r="AV14" s="9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>
        <f>SUM(C14:AX14)</f>
        <v>526.72</v>
      </c>
      <c r="BK14" s="8"/>
      <c r="BL14" s="4" t="s">
        <v>27</v>
      </c>
      <c r="BM14" s="58" t="s">
        <v>313</v>
      </c>
      <c r="BN14" s="45" t="s">
        <v>284</v>
      </c>
    </row>
    <row r="15" spans="1:73" ht="15">
      <c r="A15" s="2">
        <f t="shared" si="0"/>
        <v>13</v>
      </c>
      <c r="B15" s="4" t="s">
        <v>28</v>
      </c>
      <c r="C15" s="5"/>
      <c r="D15" s="6"/>
      <c r="E15" s="5"/>
      <c r="F15" s="6"/>
      <c r="G15" s="5"/>
      <c r="H15" s="6"/>
      <c r="I15" s="5"/>
      <c r="J15" s="6"/>
      <c r="K15" s="5"/>
      <c r="L15" s="6"/>
      <c r="M15" s="5"/>
      <c r="N15" s="6"/>
      <c r="O15" s="5"/>
      <c r="P15" s="6"/>
      <c r="Q15" s="5"/>
      <c r="R15" s="5"/>
      <c r="S15" s="6"/>
      <c r="T15" s="5"/>
      <c r="U15" s="6"/>
      <c r="V15" s="5"/>
      <c r="W15" s="6"/>
      <c r="X15" s="5"/>
      <c r="Y15" s="6"/>
      <c r="Z15" s="5"/>
      <c r="AA15" s="6"/>
      <c r="AB15" s="5"/>
      <c r="AC15" s="6"/>
      <c r="AD15" s="5"/>
      <c r="AE15" s="6"/>
      <c r="AF15" s="5"/>
      <c r="AG15" s="6"/>
      <c r="AH15" s="5"/>
      <c r="AI15" s="6"/>
      <c r="AJ15" s="5"/>
      <c r="AK15" s="6"/>
      <c r="AL15" s="5"/>
      <c r="AM15" s="6"/>
      <c r="AN15" s="5">
        <v>500.13</v>
      </c>
      <c r="AO15" s="6"/>
      <c r="AP15" s="5"/>
      <c r="AQ15" s="6"/>
      <c r="AR15" s="5"/>
      <c r="AS15" s="6"/>
      <c r="AT15" s="5"/>
      <c r="AU15" s="6"/>
      <c r="AV15" s="5"/>
      <c r="AW15" s="71" t="s">
        <v>226</v>
      </c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8" t="s">
        <v>239</v>
      </c>
      <c r="BJ15" s="8">
        <f>SUM(C15:AX15)</f>
        <v>500.13</v>
      </c>
      <c r="BK15" s="8"/>
      <c r="BL15" s="4" t="s">
        <v>28</v>
      </c>
      <c r="BM15" s="59" t="s">
        <v>314</v>
      </c>
      <c r="BN15" s="45" t="s">
        <v>304</v>
      </c>
    </row>
    <row r="16" spans="1:73" ht="15">
      <c r="A16" s="2">
        <f t="shared" si="0"/>
        <v>14</v>
      </c>
      <c r="B16" s="4" t="s">
        <v>29</v>
      </c>
      <c r="C16" s="5"/>
      <c r="D16" s="6"/>
      <c r="E16" s="5"/>
      <c r="F16" s="6"/>
      <c r="G16" s="5"/>
      <c r="H16" s="6"/>
      <c r="I16" s="5"/>
      <c r="J16" s="6"/>
      <c r="K16" s="5"/>
      <c r="L16" s="6"/>
      <c r="M16" s="5">
        <v>100.14</v>
      </c>
      <c r="N16" s="6"/>
      <c r="O16" s="5"/>
      <c r="P16" s="6"/>
      <c r="Q16" s="5">
        <v>100.14</v>
      </c>
      <c r="R16" s="5"/>
      <c r="S16" s="6"/>
      <c r="T16" s="5"/>
      <c r="U16" s="6"/>
      <c r="V16" s="5"/>
      <c r="W16" s="6"/>
      <c r="X16" s="5">
        <v>100.14</v>
      </c>
      <c r="Y16" s="11"/>
      <c r="Z16" s="10"/>
      <c r="AA16" s="11"/>
      <c r="AB16" s="10"/>
      <c r="AC16" s="11"/>
      <c r="AD16" s="10"/>
      <c r="AE16" s="11"/>
      <c r="AF16" s="10">
        <v>100.14</v>
      </c>
      <c r="AG16" s="33"/>
      <c r="AH16" s="34"/>
      <c r="AI16" s="33"/>
      <c r="AJ16" s="34"/>
      <c r="AK16" s="33"/>
      <c r="AL16" s="34"/>
      <c r="AM16" s="33"/>
      <c r="AN16" s="34"/>
      <c r="AO16" s="33"/>
      <c r="AP16" s="34"/>
      <c r="AR16" s="9" t="s">
        <v>238</v>
      </c>
      <c r="AS16" s="8" t="s">
        <v>239</v>
      </c>
      <c r="AT16" s="9"/>
      <c r="AU16" s="8"/>
      <c r="AV16" s="9"/>
      <c r="AW16" s="8"/>
      <c r="AY16" s="8">
        <v>160.13999999999999</v>
      </c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>
        <f>SUM(C16:AY16)</f>
        <v>560.70000000000005</v>
      </c>
      <c r="BK16" s="8"/>
      <c r="BL16" s="4" t="s">
        <v>29</v>
      </c>
      <c r="BM16" s="58" t="s">
        <v>313</v>
      </c>
      <c r="BN16" s="45" t="s">
        <v>286</v>
      </c>
    </row>
    <row r="17" spans="1:66" ht="15">
      <c r="A17" s="2">
        <f t="shared" si="0"/>
        <v>15</v>
      </c>
      <c r="B17" s="4" t="s">
        <v>30</v>
      </c>
      <c r="C17" s="5">
        <v>300.14999999999998</v>
      </c>
      <c r="D17" s="6"/>
      <c r="E17" s="5"/>
      <c r="F17" s="6"/>
      <c r="G17" s="5"/>
      <c r="H17" s="6"/>
      <c r="I17" s="5"/>
      <c r="J17" s="6"/>
      <c r="K17" s="5"/>
      <c r="L17" s="6"/>
      <c r="M17" s="5"/>
      <c r="N17" s="6"/>
      <c r="O17" s="5"/>
      <c r="P17" s="6"/>
      <c r="Q17" s="5"/>
      <c r="R17" s="5"/>
      <c r="S17" s="6"/>
      <c r="T17" s="5"/>
      <c r="U17" s="6"/>
      <c r="V17" s="5"/>
      <c r="W17" s="6"/>
      <c r="X17" s="5"/>
      <c r="Y17" s="6"/>
      <c r="Z17" s="5">
        <v>150.15</v>
      </c>
      <c r="AA17" s="6"/>
      <c r="AB17" s="5"/>
      <c r="AC17" s="6"/>
      <c r="AD17" s="5"/>
      <c r="AE17" s="6"/>
      <c r="AF17" s="5"/>
      <c r="AG17" s="6"/>
      <c r="AH17" s="5"/>
      <c r="AI17" s="6"/>
      <c r="AJ17" s="5"/>
      <c r="AK17" s="11"/>
      <c r="AL17" s="10">
        <v>50.15</v>
      </c>
      <c r="AM17" s="11"/>
      <c r="AN17" s="10"/>
      <c r="AO17" s="33"/>
      <c r="AP17" s="9"/>
      <c r="AQ17" s="33"/>
      <c r="AR17" s="34">
        <v>40.15</v>
      </c>
      <c r="AS17" s="33"/>
      <c r="AT17" s="34">
        <v>40</v>
      </c>
      <c r="AU17" s="33"/>
      <c r="AV17" s="34">
        <v>40</v>
      </c>
      <c r="AW17" s="64">
        <v>80</v>
      </c>
      <c r="AX17" s="64">
        <v>80.150000000000006</v>
      </c>
      <c r="AY17" s="64"/>
      <c r="AZ17" s="64"/>
      <c r="BA17" s="64">
        <v>120.15</v>
      </c>
      <c r="BB17" s="64"/>
      <c r="BC17" s="64"/>
      <c r="BD17" s="8"/>
      <c r="BE17" s="8"/>
      <c r="BF17" s="8"/>
      <c r="BG17" s="8"/>
      <c r="BH17" s="8"/>
      <c r="BI17" s="8"/>
      <c r="BJ17" s="8">
        <f t="shared" ref="BJ17:BJ24" si="2">SUM(C17:AX17)</f>
        <v>780.74999999999989</v>
      </c>
      <c r="BK17" s="8"/>
      <c r="BL17" s="4" t="s">
        <v>30</v>
      </c>
      <c r="BM17" s="59" t="s">
        <v>314</v>
      </c>
      <c r="BN17" s="45" t="s">
        <v>295</v>
      </c>
    </row>
    <row r="18" spans="1:66" ht="15">
      <c r="A18" s="2">
        <f t="shared" si="0"/>
        <v>16</v>
      </c>
      <c r="B18" s="4" t="s">
        <v>31</v>
      </c>
      <c r="C18" s="5"/>
      <c r="D18" s="6"/>
      <c r="E18" s="5"/>
      <c r="F18" s="6"/>
      <c r="G18" s="5"/>
      <c r="H18" s="6"/>
      <c r="I18" s="5"/>
      <c r="J18" s="11"/>
      <c r="K18" s="10"/>
      <c r="L18" s="11"/>
      <c r="M18" s="10"/>
      <c r="N18" s="11"/>
      <c r="O18" s="10">
        <v>200.16</v>
      </c>
      <c r="P18" s="11"/>
      <c r="Q18" s="10"/>
      <c r="R18" s="10"/>
      <c r="S18" s="11"/>
      <c r="T18" s="10"/>
      <c r="U18" s="11"/>
      <c r="V18" s="10"/>
      <c r="W18" s="11"/>
      <c r="X18" s="10"/>
      <c r="Y18" s="11"/>
      <c r="Z18" s="10"/>
      <c r="AA18" s="11"/>
      <c r="AB18" s="10"/>
      <c r="AC18" s="11"/>
      <c r="AD18" s="10"/>
      <c r="AE18" s="11"/>
      <c r="AF18" s="10">
        <v>200.16</v>
      </c>
      <c r="AG18" s="11"/>
      <c r="AH18" s="10"/>
      <c r="AI18" s="11"/>
      <c r="AJ18" s="10"/>
      <c r="AK18" s="11"/>
      <c r="AL18" s="10"/>
      <c r="AM18" s="11"/>
      <c r="AN18" s="10"/>
      <c r="AO18" s="33"/>
      <c r="AP18" s="9"/>
      <c r="AQ18" s="8"/>
      <c r="AR18" s="9"/>
      <c r="AS18" s="8"/>
      <c r="AT18" s="9"/>
      <c r="AU18" s="8"/>
      <c r="AV18" s="9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>
        <f t="shared" si="2"/>
        <v>400.32</v>
      </c>
      <c r="BK18" s="8"/>
      <c r="BL18" s="4" t="s">
        <v>31</v>
      </c>
      <c r="BM18" s="58" t="s">
        <v>313</v>
      </c>
      <c r="BN18" s="45" t="s">
        <v>296</v>
      </c>
    </row>
    <row r="19" spans="1:66" ht="15">
      <c r="A19" s="2">
        <f t="shared" si="0"/>
        <v>17</v>
      </c>
      <c r="B19" s="4" t="s">
        <v>32</v>
      </c>
      <c r="C19" s="5"/>
      <c r="D19" s="6"/>
      <c r="E19" s="5"/>
      <c r="F19" s="6"/>
      <c r="G19" s="5"/>
      <c r="H19" s="6"/>
      <c r="I19" s="5"/>
      <c r="J19" s="6"/>
      <c r="K19" s="5"/>
      <c r="L19" s="6"/>
      <c r="M19" s="5"/>
      <c r="N19" s="6"/>
      <c r="O19" s="5"/>
      <c r="P19" s="6"/>
      <c r="Q19" s="5"/>
      <c r="R19" s="5"/>
      <c r="S19" s="6"/>
      <c r="T19" s="5"/>
      <c r="U19" s="6"/>
      <c r="V19" s="5"/>
      <c r="W19" s="6"/>
      <c r="X19" s="5"/>
      <c r="Y19" s="6"/>
      <c r="Z19" s="5">
        <v>250.17</v>
      </c>
      <c r="AA19" s="6"/>
      <c r="AB19" s="5"/>
      <c r="AC19" s="6"/>
      <c r="AD19" s="5"/>
      <c r="AE19" s="6"/>
      <c r="AF19" s="5"/>
      <c r="AG19" s="6"/>
      <c r="AH19" s="5"/>
      <c r="AI19" s="6"/>
      <c r="AJ19" s="5"/>
      <c r="AK19" s="8"/>
      <c r="AL19" s="9"/>
      <c r="AM19" s="8"/>
      <c r="AN19" s="9"/>
      <c r="AO19" s="8"/>
      <c r="AP19" s="9"/>
      <c r="AQ19" s="8"/>
      <c r="AR19" s="9"/>
      <c r="AS19" s="8"/>
      <c r="AT19" s="9"/>
      <c r="AU19" s="8"/>
      <c r="AV19" s="9"/>
      <c r="AW19" s="8">
        <v>50.17</v>
      </c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>
        <f t="shared" si="2"/>
        <v>300.33999999999997</v>
      </c>
      <c r="BK19" s="8"/>
      <c r="BL19" s="4" t="s">
        <v>32</v>
      </c>
      <c r="BM19" s="58" t="s">
        <v>313</v>
      </c>
      <c r="BN19" s="45" t="s">
        <v>287</v>
      </c>
    </row>
    <row r="20" spans="1:66" ht="15">
      <c r="A20" s="2">
        <f t="shared" si="0"/>
        <v>18</v>
      </c>
      <c r="B20" s="4" t="s">
        <v>33</v>
      </c>
      <c r="C20" s="10"/>
      <c r="D20" s="11"/>
      <c r="E20" s="10"/>
      <c r="F20" s="11"/>
      <c r="G20" s="10"/>
      <c r="H20" s="11"/>
      <c r="I20" s="10"/>
      <c r="J20" s="11"/>
      <c r="K20" s="10"/>
      <c r="L20" s="11"/>
      <c r="M20" s="10"/>
      <c r="N20" s="11"/>
      <c r="O20" s="10"/>
      <c r="P20" s="11"/>
      <c r="Q20" s="10"/>
      <c r="R20" s="10"/>
      <c r="S20" s="11"/>
      <c r="T20" s="10"/>
      <c r="U20" s="33"/>
      <c r="V20" s="34"/>
      <c r="W20" s="33"/>
      <c r="X20" s="34"/>
      <c r="Y20" s="33"/>
      <c r="Z20" s="34"/>
      <c r="AA20" s="33"/>
      <c r="AB20" s="34"/>
      <c r="AC20" s="33"/>
      <c r="AD20" s="34"/>
      <c r="AE20" s="33"/>
      <c r="AF20" s="34">
        <v>250.18</v>
      </c>
      <c r="AG20" s="33"/>
      <c r="AH20" s="34"/>
      <c r="AI20" s="33"/>
      <c r="AJ20" s="34"/>
      <c r="AK20" s="33"/>
      <c r="AL20" s="34"/>
      <c r="AM20" s="33"/>
      <c r="AN20" s="34"/>
      <c r="AO20" s="8"/>
      <c r="AP20" s="9"/>
      <c r="AQ20" s="8"/>
      <c r="AR20" s="9"/>
      <c r="AS20" s="8"/>
      <c r="AT20" s="9"/>
      <c r="AU20" s="8"/>
      <c r="AV20" s="9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>
        <f t="shared" si="2"/>
        <v>250.18</v>
      </c>
      <c r="BK20" s="8"/>
      <c r="BL20" s="4" t="s">
        <v>33</v>
      </c>
      <c r="BM20" s="58" t="s">
        <v>313</v>
      </c>
      <c r="BN20" s="45" t="s">
        <v>288</v>
      </c>
    </row>
    <row r="21" spans="1:66" ht="15">
      <c r="A21" s="2">
        <f t="shared" si="0"/>
        <v>19</v>
      </c>
      <c r="B21" s="4" t="s">
        <v>34</v>
      </c>
      <c r="C21" s="5"/>
      <c r="D21" s="6"/>
      <c r="E21" s="5">
        <v>80.19</v>
      </c>
      <c r="F21" s="6"/>
      <c r="G21" s="5"/>
      <c r="H21" s="6"/>
      <c r="I21" s="5"/>
      <c r="J21" s="6"/>
      <c r="K21" s="5"/>
      <c r="L21" s="6"/>
      <c r="M21" s="5">
        <v>80.19</v>
      </c>
      <c r="N21" s="6"/>
      <c r="O21" s="5"/>
      <c r="P21" s="11"/>
      <c r="Q21" s="10"/>
      <c r="R21" s="10"/>
      <c r="S21" s="11"/>
      <c r="T21" s="10"/>
      <c r="U21" s="11"/>
      <c r="V21" s="10">
        <v>80.19</v>
      </c>
      <c r="W21" s="11"/>
      <c r="X21" s="10"/>
      <c r="Y21" s="11"/>
      <c r="Z21" s="10"/>
      <c r="AA21" s="11"/>
      <c r="AB21" s="10"/>
      <c r="AC21" s="11"/>
      <c r="AD21" s="10"/>
      <c r="AE21" s="11"/>
      <c r="AF21" s="10"/>
      <c r="AG21" s="11"/>
      <c r="AH21" s="10">
        <v>300.19</v>
      </c>
      <c r="AI21" s="11"/>
      <c r="AJ21" s="10"/>
      <c r="AK21" s="11"/>
      <c r="AL21" s="10"/>
      <c r="AM21" s="11"/>
      <c r="AN21" s="10"/>
      <c r="AO21" s="11"/>
      <c r="AP21" s="10" t="s">
        <v>35</v>
      </c>
      <c r="AQ21" s="11"/>
      <c r="AR21" s="10" t="s">
        <v>36</v>
      </c>
      <c r="AS21" s="11"/>
      <c r="AT21" s="10" t="s">
        <v>36</v>
      </c>
      <c r="AU21" s="8"/>
      <c r="AV21" s="9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>
        <f t="shared" si="2"/>
        <v>540.76</v>
      </c>
      <c r="BK21" s="8"/>
      <c r="BL21" s="4" t="s">
        <v>34</v>
      </c>
      <c r="BM21" s="58" t="s">
        <v>313</v>
      </c>
      <c r="BN21" s="45" t="s">
        <v>297</v>
      </c>
    </row>
    <row r="22" spans="1:66" ht="15">
      <c r="A22" s="2">
        <f t="shared" si="0"/>
        <v>20</v>
      </c>
      <c r="B22" s="12" t="s">
        <v>37</v>
      </c>
      <c r="C22" s="5">
        <v>75.2</v>
      </c>
      <c r="D22" s="6"/>
      <c r="E22" s="5"/>
      <c r="F22" s="6"/>
      <c r="G22" s="5"/>
      <c r="H22" s="6"/>
      <c r="I22" s="5"/>
      <c r="J22" s="6"/>
      <c r="K22" s="5">
        <v>50.2</v>
      </c>
      <c r="L22" s="6"/>
      <c r="M22" s="5">
        <v>25</v>
      </c>
      <c r="N22" s="6"/>
      <c r="O22" s="5">
        <v>100</v>
      </c>
      <c r="P22" s="6"/>
      <c r="Q22" s="5">
        <v>75</v>
      </c>
      <c r="R22" s="5"/>
      <c r="S22" s="6"/>
      <c r="T22" s="5"/>
      <c r="U22" s="6"/>
      <c r="V22" s="5">
        <v>75</v>
      </c>
      <c r="W22" s="6"/>
      <c r="X22" s="5"/>
      <c r="Y22" s="6"/>
      <c r="Z22" s="5"/>
      <c r="AA22" s="6"/>
      <c r="AB22" s="5">
        <v>75</v>
      </c>
      <c r="AC22" s="6"/>
      <c r="AD22" s="5"/>
      <c r="AE22" s="11"/>
      <c r="AF22" s="10"/>
      <c r="AG22" s="11"/>
      <c r="AH22" s="10">
        <v>75</v>
      </c>
      <c r="AI22" s="11">
        <v>75</v>
      </c>
      <c r="AJ22" s="10"/>
      <c r="AK22" s="11"/>
      <c r="AL22" s="10"/>
      <c r="AM22" s="11"/>
      <c r="AN22" s="10">
        <v>135.19999999999999</v>
      </c>
      <c r="AO22" s="33"/>
      <c r="AP22" s="10" t="s">
        <v>38</v>
      </c>
      <c r="AQ22" s="33"/>
      <c r="AR22" s="34"/>
      <c r="AS22" s="33"/>
      <c r="AT22" s="34"/>
      <c r="AU22" s="33"/>
      <c r="AV22" s="34"/>
      <c r="AW22" s="64"/>
      <c r="AX22" s="64">
        <v>80</v>
      </c>
      <c r="AY22" s="64">
        <v>240.2</v>
      </c>
      <c r="AZ22" s="64"/>
      <c r="BA22" s="64"/>
      <c r="BB22" s="64"/>
      <c r="BC22" s="64"/>
      <c r="BD22" s="64"/>
      <c r="BE22" s="8"/>
      <c r="BF22" s="8"/>
      <c r="BG22" s="8"/>
      <c r="BH22" s="8"/>
      <c r="BI22" s="8"/>
      <c r="BJ22" s="8">
        <f t="shared" si="2"/>
        <v>840.59999999999991</v>
      </c>
      <c r="BK22" s="8"/>
      <c r="BL22" s="12" t="s">
        <v>37</v>
      </c>
      <c r="BM22" s="59" t="s">
        <v>314</v>
      </c>
      <c r="BN22" s="45" t="s">
        <v>295</v>
      </c>
    </row>
    <row r="23" spans="1:66" ht="15">
      <c r="A23" s="13">
        <f t="shared" si="0"/>
        <v>21</v>
      </c>
      <c r="B23" s="12" t="s">
        <v>39</v>
      </c>
      <c r="C23" s="5"/>
      <c r="D23" s="6"/>
      <c r="E23" s="5"/>
      <c r="F23" s="6"/>
      <c r="G23" s="5"/>
      <c r="H23" s="6"/>
      <c r="I23" s="5"/>
      <c r="J23" s="6"/>
      <c r="K23" s="5"/>
      <c r="L23" s="6"/>
      <c r="M23" s="5"/>
      <c r="N23" s="6"/>
      <c r="O23" s="5">
        <v>151.21</v>
      </c>
      <c r="P23" s="6"/>
      <c r="Q23" s="5"/>
      <c r="R23" s="5"/>
      <c r="S23" s="6"/>
      <c r="T23" s="5"/>
      <c r="U23" s="6"/>
      <c r="V23" s="5"/>
      <c r="W23" s="6"/>
      <c r="X23" s="5"/>
      <c r="Y23" s="6"/>
      <c r="Z23" s="5">
        <v>300.20999999999998</v>
      </c>
      <c r="AA23" s="6"/>
      <c r="AB23" s="5"/>
      <c r="AC23" s="6"/>
      <c r="AD23" s="5"/>
      <c r="AE23" s="6"/>
      <c r="AF23" s="5"/>
      <c r="AG23" s="6"/>
      <c r="AH23" s="5"/>
      <c r="AI23" s="6"/>
      <c r="AJ23" s="5"/>
      <c r="AK23" s="6"/>
      <c r="AL23" s="5"/>
      <c r="AM23" s="6"/>
      <c r="AN23" s="5"/>
      <c r="AO23" s="6"/>
      <c r="AP23" s="5"/>
      <c r="AQ23" s="6"/>
      <c r="AR23" s="5"/>
      <c r="AS23" s="6"/>
      <c r="AT23" s="5"/>
      <c r="AU23" s="6"/>
      <c r="AV23" s="5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>
        <f t="shared" si="2"/>
        <v>451.41999999999996</v>
      </c>
      <c r="BK23" s="8"/>
      <c r="BL23" s="12" t="s">
        <v>39</v>
      </c>
      <c r="BM23" s="58" t="s">
        <v>313</v>
      </c>
      <c r="BN23" s="45" t="s">
        <v>335</v>
      </c>
    </row>
    <row r="24" spans="1:66" ht="15">
      <c r="A24" s="2">
        <f t="shared" si="0"/>
        <v>22</v>
      </c>
      <c r="B24" s="4" t="s">
        <v>233</v>
      </c>
      <c r="C24" s="5"/>
      <c r="D24" s="6"/>
      <c r="E24" s="5"/>
      <c r="F24" s="6"/>
      <c r="G24" s="5">
        <v>300.22000000000003</v>
      </c>
      <c r="H24" s="6"/>
      <c r="I24" s="5"/>
      <c r="J24" s="6"/>
      <c r="K24" s="5"/>
      <c r="L24" s="6"/>
      <c r="M24" s="5"/>
      <c r="N24" s="6"/>
      <c r="O24" s="5"/>
      <c r="P24" s="6"/>
      <c r="Q24" s="5"/>
      <c r="R24" s="5"/>
      <c r="S24" s="6"/>
      <c r="T24" s="5"/>
      <c r="U24" s="6"/>
      <c r="V24" s="5"/>
      <c r="W24" s="6"/>
      <c r="X24" s="5"/>
      <c r="Y24" s="40"/>
      <c r="Z24" s="41"/>
      <c r="AA24" s="40"/>
      <c r="AB24" s="41"/>
      <c r="AC24" s="40"/>
      <c r="AD24" s="41"/>
      <c r="AE24" s="40"/>
      <c r="AF24" s="34"/>
      <c r="AG24" s="33"/>
      <c r="AH24" s="34"/>
      <c r="AI24" s="33"/>
      <c r="AJ24" s="34"/>
      <c r="AK24" s="33"/>
      <c r="AL24" s="34"/>
      <c r="AM24" s="33"/>
      <c r="AN24" s="34"/>
      <c r="AO24" s="33"/>
      <c r="AP24" s="34">
        <v>405</v>
      </c>
      <c r="AQ24" s="33"/>
      <c r="AR24" s="34"/>
      <c r="AS24" s="33"/>
      <c r="AT24" s="34"/>
      <c r="AU24" s="33"/>
      <c r="AV24" s="34"/>
      <c r="AW24" s="33"/>
      <c r="AX24" s="33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>
        <f t="shared" si="2"/>
        <v>705.22</v>
      </c>
      <c r="BK24" s="8"/>
      <c r="BL24" s="4" t="s">
        <v>233</v>
      </c>
      <c r="BM24" s="59" t="s">
        <v>314</v>
      </c>
      <c r="BN24" t="s">
        <v>290</v>
      </c>
    </row>
    <row r="25" spans="1:66" ht="15">
      <c r="A25" s="2">
        <f t="shared" si="0"/>
        <v>23</v>
      </c>
      <c r="B25" s="4" t="s">
        <v>40</v>
      </c>
      <c r="C25" s="5">
        <v>150.22999999999999</v>
      </c>
      <c r="D25" s="6"/>
      <c r="E25" s="5"/>
      <c r="F25" s="6"/>
      <c r="G25" s="5"/>
      <c r="H25" s="6"/>
      <c r="I25" s="5"/>
      <c r="J25" s="6"/>
      <c r="K25" s="5"/>
      <c r="L25" s="6"/>
      <c r="M25" s="5"/>
      <c r="N25" s="6"/>
      <c r="O25" s="5">
        <v>150.22999999999999</v>
      </c>
      <c r="P25" s="6"/>
      <c r="Q25" s="5"/>
      <c r="R25" s="5"/>
      <c r="S25" s="6"/>
      <c r="T25" s="5"/>
      <c r="U25" s="6"/>
      <c r="V25" s="5"/>
      <c r="W25" s="6"/>
      <c r="X25" s="5"/>
      <c r="Y25" s="6"/>
      <c r="Z25" s="5"/>
      <c r="AA25" s="6"/>
      <c r="AB25" s="5">
        <v>150.22999999999999</v>
      </c>
      <c r="AC25" s="6"/>
      <c r="AD25" s="5"/>
      <c r="AE25" s="6"/>
      <c r="AF25" s="5"/>
      <c r="AG25" s="6"/>
      <c r="AH25" s="5"/>
      <c r="AI25" s="6"/>
      <c r="AJ25" s="5"/>
      <c r="AK25" s="33"/>
      <c r="AL25" s="34"/>
      <c r="AM25" s="33"/>
      <c r="AN25" s="34">
        <v>80.23</v>
      </c>
      <c r="AO25" s="33"/>
      <c r="AP25" s="36"/>
      <c r="AQ25" s="33"/>
      <c r="AR25" s="34">
        <v>130</v>
      </c>
      <c r="AS25" s="33"/>
      <c r="AT25" s="34"/>
      <c r="AU25" s="33"/>
      <c r="AV25" s="34"/>
      <c r="AW25" s="64"/>
      <c r="AX25" s="74"/>
      <c r="AY25" s="64">
        <v>240.23</v>
      </c>
      <c r="AZ25" s="64"/>
      <c r="BA25" s="64"/>
      <c r="BB25" s="64"/>
      <c r="BC25" s="8"/>
      <c r="BD25" s="8"/>
      <c r="BE25" s="8"/>
      <c r="BF25" s="8"/>
      <c r="BG25" s="8"/>
      <c r="BH25" s="8"/>
      <c r="BI25" s="8"/>
      <c r="BJ25" s="8">
        <f>SUM(C25:AY25)</f>
        <v>901.15</v>
      </c>
      <c r="BK25" s="8"/>
      <c r="BL25" s="4" t="s">
        <v>40</v>
      </c>
      <c r="BM25" s="58" t="s">
        <v>313</v>
      </c>
      <c r="BN25" t="s">
        <v>335</v>
      </c>
    </row>
    <row r="26" spans="1:66" ht="15">
      <c r="A26" s="2">
        <f t="shared" si="0"/>
        <v>24</v>
      </c>
      <c r="B26" s="4" t="s">
        <v>41</v>
      </c>
      <c r="C26" s="5"/>
      <c r="D26" s="6"/>
      <c r="E26" s="5"/>
      <c r="F26" s="6"/>
      <c r="G26" s="5"/>
      <c r="H26" s="6"/>
      <c r="I26" s="5"/>
      <c r="J26" s="6"/>
      <c r="K26" s="5">
        <v>100.24</v>
      </c>
      <c r="L26" s="6"/>
      <c r="M26" s="5"/>
      <c r="N26" s="6"/>
      <c r="O26" s="5"/>
      <c r="P26" s="6"/>
      <c r="Q26" s="5"/>
      <c r="R26" s="5"/>
      <c r="S26" s="6"/>
      <c r="T26" s="5"/>
      <c r="U26" s="6"/>
      <c r="V26" s="5"/>
      <c r="W26" s="6"/>
      <c r="X26" s="5"/>
      <c r="Y26" s="6"/>
      <c r="Z26" s="5">
        <v>100.24</v>
      </c>
      <c r="AA26" s="6"/>
      <c r="AB26" s="5"/>
      <c r="AC26" s="6"/>
      <c r="AD26" s="5"/>
      <c r="AE26" s="6"/>
      <c r="AF26" s="5">
        <v>100.24</v>
      </c>
      <c r="AG26" s="33"/>
      <c r="AH26" s="34"/>
      <c r="AI26" s="33"/>
      <c r="AJ26" s="34"/>
      <c r="AK26" s="33"/>
      <c r="AL26" s="34"/>
      <c r="AM26" s="33"/>
      <c r="AN26" s="34"/>
      <c r="AO26" s="33"/>
      <c r="AP26" s="34"/>
      <c r="AQ26" s="33"/>
      <c r="AR26" s="80">
        <v>160.24</v>
      </c>
      <c r="AS26" s="75" t="s">
        <v>363</v>
      </c>
      <c r="AT26" s="75"/>
      <c r="AU26" s="64"/>
      <c r="AV26" s="75"/>
      <c r="AW26" s="64"/>
      <c r="AX26" s="8" t="s">
        <v>363</v>
      </c>
      <c r="AY26" s="8"/>
      <c r="AZ26" s="8"/>
      <c r="BA26" s="8">
        <v>160.24</v>
      </c>
      <c r="BB26" s="8" t="s">
        <v>406</v>
      </c>
      <c r="BC26" s="8"/>
      <c r="BD26" s="8"/>
      <c r="BE26" s="8"/>
      <c r="BF26" s="8"/>
      <c r="BG26" s="8"/>
      <c r="BH26" s="8"/>
      <c r="BI26" s="8"/>
      <c r="BJ26" s="8">
        <f t="shared" ref="BJ26:BJ59" si="3">SUM(C26:AX26)</f>
        <v>460.96</v>
      </c>
      <c r="BK26" s="8"/>
      <c r="BL26" s="4" t="s">
        <v>41</v>
      </c>
      <c r="BM26" s="58" t="s">
        <v>313</v>
      </c>
      <c r="BN26" t="s">
        <v>365</v>
      </c>
    </row>
    <row r="27" spans="1:66" ht="15">
      <c r="A27" s="2">
        <f t="shared" si="0"/>
        <v>25</v>
      </c>
      <c r="B27" s="4" t="s">
        <v>42</v>
      </c>
      <c r="C27" s="5"/>
      <c r="D27" s="6"/>
      <c r="E27" s="5"/>
      <c r="F27" s="6"/>
      <c r="G27" s="5"/>
      <c r="H27" s="6"/>
      <c r="I27" s="5"/>
      <c r="J27" s="6"/>
      <c r="K27" s="5"/>
      <c r="L27" s="6"/>
      <c r="M27" s="5"/>
      <c r="N27" s="6"/>
      <c r="O27" s="5"/>
      <c r="P27" s="6"/>
      <c r="Q27" s="7"/>
      <c r="R27" s="10">
        <v>100.25</v>
      </c>
      <c r="S27" s="11"/>
      <c r="T27" s="10"/>
      <c r="U27" s="11"/>
      <c r="V27" s="10"/>
      <c r="W27" s="11"/>
      <c r="X27" s="10"/>
      <c r="Y27" s="8"/>
      <c r="Z27" s="75"/>
      <c r="AA27" s="8"/>
      <c r="AB27" s="10"/>
      <c r="AC27" s="11"/>
      <c r="AD27" s="10"/>
      <c r="AE27" s="11"/>
      <c r="AF27" s="10"/>
      <c r="AG27" s="11"/>
      <c r="AH27" s="10"/>
      <c r="AI27" s="11"/>
      <c r="AJ27" s="10"/>
      <c r="AK27" s="11"/>
      <c r="AL27" s="10">
        <v>150.25</v>
      </c>
      <c r="AM27" s="33"/>
      <c r="AN27" s="75"/>
      <c r="AO27" s="33"/>
      <c r="AP27" s="34"/>
      <c r="AQ27" s="33"/>
      <c r="AR27" s="34"/>
      <c r="AS27" s="33"/>
      <c r="AT27" s="34"/>
      <c r="AU27" s="33"/>
      <c r="AV27" s="34"/>
      <c r="AW27" s="8"/>
      <c r="AX27" s="8">
        <v>160.25</v>
      </c>
      <c r="AY27" s="8"/>
      <c r="AZ27" s="8"/>
      <c r="BA27" s="8">
        <v>240.25</v>
      </c>
      <c r="BB27" s="8"/>
      <c r="BC27" s="8"/>
      <c r="BD27" s="8"/>
      <c r="BE27" s="8"/>
      <c r="BF27" s="8"/>
      <c r="BG27" s="8"/>
      <c r="BH27" s="8"/>
      <c r="BI27" s="8"/>
      <c r="BJ27" s="8">
        <f t="shared" si="3"/>
        <v>410.75</v>
      </c>
      <c r="BK27" s="8"/>
      <c r="BL27" s="4" t="s">
        <v>42</v>
      </c>
      <c r="BM27" s="58" t="s">
        <v>313</v>
      </c>
      <c r="BN27" t="s">
        <v>291</v>
      </c>
    </row>
    <row r="28" spans="1:66" ht="15">
      <c r="A28" s="2">
        <f t="shared" si="0"/>
        <v>26</v>
      </c>
      <c r="B28" s="4" t="s">
        <v>43</v>
      </c>
      <c r="C28" s="5"/>
      <c r="D28" s="6"/>
      <c r="E28" s="5"/>
      <c r="F28" s="6"/>
      <c r="G28" s="5">
        <v>150.26</v>
      </c>
      <c r="H28" s="6"/>
      <c r="I28" s="5"/>
      <c r="J28" s="6"/>
      <c r="K28" s="5"/>
      <c r="L28" s="6"/>
      <c r="M28" s="5"/>
      <c r="N28" s="6"/>
      <c r="O28" s="5">
        <v>150.26</v>
      </c>
      <c r="P28" s="6"/>
      <c r="Q28" s="5"/>
      <c r="R28" s="5"/>
      <c r="S28" s="6"/>
      <c r="T28" s="5"/>
      <c r="U28" s="6"/>
      <c r="V28" s="5"/>
      <c r="W28" s="6"/>
      <c r="X28" s="5"/>
      <c r="Y28" s="6"/>
      <c r="Z28" s="5"/>
      <c r="AA28" s="6"/>
      <c r="AB28" s="5"/>
      <c r="AC28" s="6"/>
      <c r="AD28" s="5">
        <v>150.26</v>
      </c>
      <c r="AE28" s="6"/>
      <c r="AF28" s="5"/>
      <c r="AG28" s="6"/>
      <c r="AH28" s="5"/>
      <c r="AI28" s="6"/>
      <c r="AJ28" s="5"/>
      <c r="AK28" s="33"/>
      <c r="AL28" s="34"/>
      <c r="AM28" s="33"/>
      <c r="AN28" s="34">
        <v>210.26</v>
      </c>
      <c r="AO28" s="33"/>
      <c r="AP28" s="34"/>
      <c r="AQ28" s="33"/>
      <c r="AR28" s="34"/>
      <c r="AS28" s="33"/>
      <c r="AT28" s="34"/>
      <c r="AU28" s="33"/>
      <c r="AV28" s="34"/>
      <c r="AW28" s="33"/>
      <c r="AX28" s="33">
        <v>240.26</v>
      </c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>
        <f t="shared" si="3"/>
        <v>901.3</v>
      </c>
      <c r="BK28" s="8"/>
      <c r="BL28" s="4" t="s">
        <v>43</v>
      </c>
      <c r="BM28" s="59" t="s">
        <v>314</v>
      </c>
      <c r="BN28" t="s">
        <v>294</v>
      </c>
    </row>
    <row r="29" spans="1:66" ht="15">
      <c r="A29" s="2">
        <f t="shared" si="0"/>
        <v>27</v>
      </c>
      <c r="B29" s="4" t="s">
        <v>44</v>
      </c>
      <c r="C29" s="5"/>
      <c r="D29" s="6"/>
      <c r="E29" s="5"/>
      <c r="F29" s="6"/>
      <c r="G29" s="5"/>
      <c r="H29" s="6"/>
      <c r="I29" s="5"/>
      <c r="J29" s="11"/>
      <c r="K29" s="10"/>
      <c r="L29" s="11"/>
      <c r="M29" s="10"/>
      <c r="N29" s="11"/>
      <c r="O29" s="10">
        <v>200.27</v>
      </c>
      <c r="P29" s="11"/>
      <c r="Q29" s="10"/>
      <c r="R29" s="10"/>
      <c r="S29" s="11"/>
      <c r="T29" s="10"/>
      <c r="U29" s="11"/>
      <c r="V29" s="10"/>
      <c r="W29" s="11"/>
      <c r="X29" s="10"/>
      <c r="Y29" s="11"/>
      <c r="Z29" s="10"/>
      <c r="AA29" s="11"/>
      <c r="AB29" s="10"/>
      <c r="AC29" s="11"/>
      <c r="AD29" s="10">
        <v>100.27</v>
      </c>
      <c r="AE29" s="11"/>
      <c r="AF29" s="10"/>
      <c r="AG29" s="33"/>
      <c r="AH29" s="34"/>
      <c r="AI29" s="33"/>
      <c r="AJ29" s="34"/>
      <c r="AK29" s="33"/>
      <c r="AL29" s="34"/>
      <c r="AM29" s="33"/>
      <c r="AN29" s="34"/>
      <c r="AO29" s="33"/>
      <c r="AP29" s="34"/>
      <c r="AQ29" s="33"/>
      <c r="AR29" s="34"/>
      <c r="AS29" s="33"/>
      <c r="AT29" s="34"/>
      <c r="AU29" s="33"/>
      <c r="AV29" s="34">
        <v>300.27</v>
      </c>
      <c r="AW29" s="33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>
        <f t="shared" si="3"/>
        <v>600.80999999999995</v>
      </c>
      <c r="BK29" s="8"/>
      <c r="BL29" s="4" t="s">
        <v>44</v>
      </c>
      <c r="BM29" s="59" t="s">
        <v>314</v>
      </c>
      <c r="BN29" t="s">
        <v>292</v>
      </c>
    </row>
    <row r="30" spans="1:66" ht="15">
      <c r="A30" s="2">
        <f t="shared" si="0"/>
        <v>28</v>
      </c>
      <c r="B30" s="4" t="s">
        <v>45</v>
      </c>
      <c r="C30" s="5"/>
      <c r="D30" s="6"/>
      <c r="E30" s="5"/>
      <c r="F30" s="6"/>
      <c r="G30" s="5"/>
      <c r="H30" s="6"/>
      <c r="I30" s="5"/>
      <c r="J30" s="11"/>
      <c r="K30" s="10"/>
      <c r="L30" s="11"/>
      <c r="M30" s="10"/>
      <c r="N30" s="11"/>
      <c r="O30" s="10"/>
      <c r="P30" s="11"/>
      <c r="Q30" s="10"/>
      <c r="R30" s="10"/>
      <c r="S30" s="11"/>
      <c r="T30" s="10"/>
      <c r="U30" s="11"/>
      <c r="V30" s="10"/>
      <c r="W30" s="11"/>
      <c r="X30" s="10"/>
      <c r="Y30" s="11"/>
      <c r="Z30" s="10"/>
      <c r="AA30" s="11"/>
      <c r="AB30" s="10"/>
      <c r="AC30" s="11"/>
      <c r="AD30" s="10"/>
      <c r="AE30" s="11"/>
      <c r="AF30" s="10"/>
      <c r="AG30" s="11"/>
      <c r="AH30" s="10" t="s">
        <v>46</v>
      </c>
      <c r="AI30" s="33"/>
      <c r="AJ30" s="34">
        <v>300</v>
      </c>
      <c r="AK30" s="33"/>
      <c r="AL30" s="34"/>
      <c r="AM30" s="33"/>
      <c r="AN30" s="34"/>
      <c r="AO30" s="33"/>
      <c r="AP30" s="34"/>
      <c r="AQ30" s="33"/>
      <c r="AR30" s="62" t="s">
        <v>315</v>
      </c>
      <c r="AS30" s="33"/>
      <c r="AT30" s="34">
        <v>140</v>
      </c>
      <c r="AU30" s="33"/>
      <c r="AV30" s="34"/>
      <c r="AW30" s="33"/>
      <c r="AX30" s="33">
        <v>160</v>
      </c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>
        <f t="shared" si="3"/>
        <v>600</v>
      </c>
      <c r="BK30" s="8"/>
      <c r="BL30" s="4" t="s">
        <v>45</v>
      </c>
      <c r="BM30" s="59" t="s">
        <v>314</v>
      </c>
      <c r="BN30" t="s">
        <v>316</v>
      </c>
    </row>
    <row r="31" spans="1:66" ht="15">
      <c r="A31" s="2">
        <f t="shared" si="0"/>
        <v>29</v>
      </c>
      <c r="B31" s="4" t="s">
        <v>47</v>
      </c>
      <c r="C31" s="5"/>
      <c r="D31" s="6"/>
      <c r="E31" s="5"/>
      <c r="F31" s="6"/>
      <c r="G31" s="5"/>
      <c r="H31" s="6"/>
      <c r="I31" s="5"/>
      <c r="J31" s="6"/>
      <c r="K31" s="5"/>
      <c r="L31" s="6"/>
      <c r="M31" s="5"/>
      <c r="N31" s="6"/>
      <c r="O31" s="5">
        <v>50.29</v>
      </c>
      <c r="P31" s="6"/>
      <c r="Q31" s="5"/>
      <c r="R31" s="5">
        <v>50.29</v>
      </c>
      <c r="S31" s="6"/>
      <c r="T31" s="5"/>
      <c r="U31" s="6"/>
      <c r="V31" s="5">
        <v>50.29</v>
      </c>
      <c r="W31" s="6"/>
      <c r="X31" s="5"/>
      <c r="Y31" s="6"/>
      <c r="Z31" s="5">
        <v>50.29</v>
      </c>
      <c r="AA31" s="6"/>
      <c r="AB31" s="5"/>
      <c r="AC31" s="6"/>
      <c r="AD31" s="5">
        <v>50.29</v>
      </c>
      <c r="AE31" s="6"/>
      <c r="AF31" s="5"/>
      <c r="AG31" s="33"/>
      <c r="AH31" s="34"/>
      <c r="AI31" s="33"/>
      <c r="AJ31" s="34"/>
      <c r="AK31" s="33"/>
      <c r="AL31" s="34"/>
      <c r="AM31" s="33"/>
      <c r="AN31" s="34"/>
      <c r="AO31" s="33"/>
      <c r="AP31" s="34">
        <v>100.29</v>
      </c>
      <c r="AQ31" s="33"/>
      <c r="AR31" s="34"/>
      <c r="AS31" s="33"/>
      <c r="AT31" s="34"/>
      <c r="AU31" s="33"/>
      <c r="AV31" s="34"/>
      <c r="AW31" s="33">
        <v>300.29000000000002</v>
      </c>
      <c r="AX31" s="33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>
        <f t="shared" si="3"/>
        <v>652.03</v>
      </c>
      <c r="BK31" s="8"/>
      <c r="BL31" s="4" t="s">
        <v>47</v>
      </c>
      <c r="BM31" s="59" t="s">
        <v>314</v>
      </c>
      <c r="BN31" t="s">
        <v>300</v>
      </c>
    </row>
    <row r="32" spans="1:66" ht="15">
      <c r="A32" s="2">
        <f t="shared" si="0"/>
        <v>30</v>
      </c>
      <c r="B32" s="4" t="s">
        <v>48</v>
      </c>
      <c r="C32" s="5"/>
      <c r="D32" s="6"/>
      <c r="E32" s="5"/>
      <c r="F32" s="6"/>
      <c r="G32" s="5"/>
      <c r="H32" s="6"/>
      <c r="I32" s="5"/>
      <c r="J32" s="6"/>
      <c r="K32" s="5"/>
      <c r="L32" s="6"/>
      <c r="M32" s="5">
        <v>100.3</v>
      </c>
      <c r="N32" s="6"/>
      <c r="O32" s="5"/>
      <c r="P32" s="6"/>
      <c r="Q32" s="5"/>
      <c r="R32" s="5"/>
      <c r="S32" s="6"/>
      <c r="T32" s="5"/>
      <c r="U32" s="6"/>
      <c r="V32" s="5"/>
      <c r="W32" s="6"/>
      <c r="X32" s="5"/>
      <c r="Y32" s="6"/>
      <c r="Z32" s="5"/>
      <c r="AA32" s="6"/>
      <c r="AB32" s="5"/>
      <c r="AC32" s="6"/>
      <c r="AD32" s="5">
        <v>150.30000000000001</v>
      </c>
      <c r="AE32" s="6"/>
      <c r="AF32" s="5"/>
      <c r="AG32" s="6"/>
      <c r="AH32" s="5"/>
      <c r="AI32" s="6"/>
      <c r="AJ32" s="5"/>
      <c r="AK32" s="33"/>
      <c r="AL32" s="9"/>
      <c r="AM32" s="8"/>
      <c r="AN32" s="9"/>
      <c r="AO32" s="8"/>
      <c r="AP32" s="9"/>
      <c r="AQ32" s="8"/>
      <c r="AR32" s="34">
        <v>40.299999999999997</v>
      </c>
      <c r="AS32" s="8"/>
      <c r="AT32" s="9"/>
      <c r="AU32" s="8"/>
      <c r="AV32" s="9"/>
      <c r="AW32" s="8"/>
      <c r="AX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>
        <f t="shared" si="3"/>
        <v>290.90000000000003</v>
      </c>
      <c r="BK32" s="8"/>
      <c r="BL32" s="4" t="s">
        <v>48</v>
      </c>
      <c r="BM32" s="58" t="s">
        <v>313</v>
      </c>
      <c r="BN32" t="s">
        <v>293</v>
      </c>
    </row>
    <row r="33" spans="1:66" ht="15">
      <c r="A33" s="2">
        <f t="shared" si="0"/>
        <v>31</v>
      </c>
      <c r="B33" s="4" t="s">
        <v>49</v>
      </c>
      <c r="C33" s="5"/>
      <c r="D33" s="6"/>
      <c r="E33" s="5"/>
      <c r="F33" s="6"/>
      <c r="G33" s="5"/>
      <c r="H33" s="6"/>
      <c r="I33" s="5"/>
      <c r="J33" s="6"/>
      <c r="K33" s="5"/>
      <c r="L33" s="6"/>
      <c r="M33" s="5"/>
      <c r="N33" s="6"/>
      <c r="O33" s="5">
        <v>150.31</v>
      </c>
      <c r="P33" s="6"/>
      <c r="Q33" s="5"/>
      <c r="R33" s="5"/>
      <c r="S33" s="6"/>
      <c r="T33" s="5"/>
      <c r="U33" s="6"/>
      <c r="V33" s="5"/>
      <c r="W33" s="6"/>
      <c r="X33" s="5"/>
      <c r="Y33" s="6"/>
      <c r="Z33" s="5">
        <v>300.31</v>
      </c>
      <c r="AA33" s="6"/>
      <c r="AB33" s="5"/>
      <c r="AC33" s="6"/>
      <c r="AD33" s="5"/>
      <c r="AE33" s="6"/>
      <c r="AF33" s="5"/>
      <c r="AG33" s="6"/>
      <c r="AH33" s="5"/>
      <c r="AI33" s="6"/>
      <c r="AJ33" s="5"/>
      <c r="AK33" s="6"/>
      <c r="AL33" s="5"/>
      <c r="AM33" s="6"/>
      <c r="AN33" s="5"/>
      <c r="AO33" s="6"/>
      <c r="AP33" s="5"/>
      <c r="AQ33" s="6"/>
      <c r="AR33" s="5"/>
      <c r="AS33" s="6"/>
      <c r="AT33" s="5"/>
      <c r="AU33" s="6"/>
      <c r="AV33" s="5"/>
      <c r="AW33" s="33">
        <v>240.31</v>
      </c>
      <c r="AX33" s="33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>
        <f t="shared" si="3"/>
        <v>690.93000000000006</v>
      </c>
      <c r="BK33" s="8"/>
      <c r="BL33" s="4" t="s">
        <v>49</v>
      </c>
      <c r="BM33" s="60" t="s">
        <v>314</v>
      </c>
      <c r="BN33" t="s">
        <v>294</v>
      </c>
    </row>
    <row r="34" spans="1:66" ht="15">
      <c r="A34" s="2">
        <f t="shared" si="0"/>
        <v>32</v>
      </c>
      <c r="B34" s="4" t="s">
        <v>50</v>
      </c>
      <c r="C34" s="5"/>
      <c r="D34" s="6"/>
      <c r="E34" s="5"/>
      <c r="F34" s="6"/>
      <c r="G34" s="5"/>
      <c r="H34" s="6"/>
      <c r="I34" s="5"/>
      <c r="J34" s="6"/>
      <c r="K34" s="5">
        <v>150.32</v>
      </c>
      <c r="L34" s="6"/>
      <c r="M34" s="5"/>
      <c r="N34" s="6"/>
      <c r="O34" s="5"/>
      <c r="P34" s="6"/>
      <c r="Q34" s="5"/>
      <c r="R34" s="5"/>
      <c r="S34" s="6"/>
      <c r="T34" s="5"/>
      <c r="U34" s="6"/>
      <c r="V34" s="5">
        <v>150.32</v>
      </c>
      <c r="W34" s="6"/>
      <c r="X34" s="5"/>
      <c r="Y34" s="11"/>
      <c r="Z34" s="10"/>
      <c r="AA34" s="11"/>
      <c r="AB34" s="10"/>
      <c r="AC34" s="11"/>
      <c r="AD34" s="10"/>
      <c r="AE34" s="11"/>
      <c r="AF34" s="10"/>
      <c r="AG34" s="11"/>
      <c r="AH34" s="10"/>
      <c r="AI34" s="11"/>
      <c r="AJ34" s="10">
        <v>150.32</v>
      </c>
      <c r="AK34" s="33"/>
      <c r="AL34" s="34"/>
      <c r="AM34" s="33"/>
      <c r="AN34" s="34"/>
      <c r="AO34" s="33"/>
      <c r="AP34" s="34"/>
      <c r="AQ34" s="33"/>
      <c r="AR34" s="34"/>
      <c r="AS34" s="33"/>
      <c r="AT34" s="34"/>
      <c r="AU34" s="33"/>
      <c r="AV34" s="34">
        <v>210.32</v>
      </c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>
        <f t="shared" si="3"/>
        <v>661.28</v>
      </c>
      <c r="BK34" s="8"/>
      <c r="BL34" s="4" t="s">
        <v>50</v>
      </c>
      <c r="BM34" s="58" t="s">
        <v>313</v>
      </c>
      <c r="BN34" t="s">
        <v>335</v>
      </c>
    </row>
    <row r="35" spans="1:66" ht="15">
      <c r="A35" s="2">
        <f t="shared" si="0"/>
        <v>33</v>
      </c>
      <c r="B35" s="4" t="s">
        <v>51</v>
      </c>
      <c r="C35" s="5">
        <v>25.33</v>
      </c>
      <c r="D35" s="6"/>
      <c r="E35" s="5">
        <v>25.33</v>
      </c>
      <c r="F35" s="6"/>
      <c r="G35" s="5">
        <v>25.33</v>
      </c>
      <c r="H35" s="6"/>
      <c r="I35" s="5">
        <v>25.33</v>
      </c>
      <c r="J35" s="6"/>
      <c r="K35" s="5">
        <v>25.33</v>
      </c>
      <c r="L35" s="6"/>
      <c r="M35" s="5">
        <v>25.33</v>
      </c>
      <c r="N35" s="6"/>
      <c r="O35" s="5">
        <v>25.33</v>
      </c>
      <c r="P35" s="6"/>
      <c r="Q35" s="5">
        <v>25.33</v>
      </c>
      <c r="R35" s="5">
        <v>25.33</v>
      </c>
      <c r="S35" s="6"/>
      <c r="T35" s="5">
        <v>25.33</v>
      </c>
      <c r="U35" s="6"/>
      <c r="V35" s="5">
        <v>25.33</v>
      </c>
      <c r="W35" s="6"/>
      <c r="X35" s="5">
        <v>25.33</v>
      </c>
      <c r="Y35" s="6"/>
      <c r="Z35" s="5">
        <v>25.33</v>
      </c>
      <c r="AA35" s="6"/>
      <c r="AB35" s="5">
        <v>25.33</v>
      </c>
      <c r="AC35" s="6"/>
      <c r="AD35" s="5">
        <v>25.33</v>
      </c>
      <c r="AE35" s="11"/>
      <c r="AF35" s="10">
        <v>25.33</v>
      </c>
      <c r="AG35" s="11"/>
      <c r="AH35" s="10">
        <v>25.33</v>
      </c>
      <c r="AI35" s="11"/>
      <c r="AJ35" s="10">
        <v>25.33</v>
      </c>
      <c r="AK35" s="11"/>
      <c r="AL35" s="10">
        <v>25.33</v>
      </c>
      <c r="AM35" s="33"/>
      <c r="AN35" s="34">
        <v>25.33</v>
      </c>
      <c r="AO35" s="8"/>
      <c r="AP35" s="75"/>
      <c r="AQ35" s="64"/>
      <c r="AR35" s="75"/>
      <c r="AS35" s="64"/>
      <c r="AT35" s="75"/>
      <c r="AU35" s="64"/>
      <c r="AV35" s="75"/>
      <c r="AW35" s="8"/>
      <c r="AX35" s="8"/>
      <c r="AY35" s="8"/>
      <c r="AZ35" s="8">
        <v>160.33000000000001</v>
      </c>
      <c r="BA35" s="8"/>
      <c r="BB35" s="8"/>
      <c r="BC35" s="8"/>
      <c r="BD35" s="8"/>
      <c r="BE35" s="8"/>
      <c r="BF35" s="8"/>
      <c r="BG35" s="8"/>
      <c r="BH35" s="8"/>
      <c r="BI35" s="8"/>
      <c r="BJ35" s="8">
        <f t="shared" si="3"/>
        <v>506.5999999999998</v>
      </c>
      <c r="BK35" s="8"/>
      <c r="BL35" s="4" t="s">
        <v>51</v>
      </c>
      <c r="BM35" s="58" t="s">
        <v>313</v>
      </c>
      <c r="BN35" t="s">
        <v>296</v>
      </c>
    </row>
    <row r="36" spans="1:66" ht="15">
      <c r="A36" s="2">
        <f t="shared" si="0"/>
        <v>34</v>
      </c>
      <c r="B36" s="4" t="s">
        <v>52</v>
      </c>
      <c r="C36" s="5"/>
      <c r="D36" s="6"/>
      <c r="E36" s="5"/>
      <c r="F36" s="6"/>
      <c r="G36" s="5"/>
      <c r="H36" s="6"/>
      <c r="I36" s="5"/>
      <c r="J36" s="6"/>
      <c r="K36" s="5"/>
      <c r="L36" s="6"/>
      <c r="M36" s="5"/>
      <c r="N36" s="6"/>
      <c r="O36" s="5"/>
      <c r="P36" s="6"/>
      <c r="Q36" s="5"/>
      <c r="R36" s="5"/>
      <c r="S36" s="6"/>
      <c r="T36" s="5"/>
      <c r="U36" s="6"/>
      <c r="V36" s="5"/>
      <c r="W36" s="6"/>
      <c r="X36" s="5"/>
      <c r="Y36" s="8"/>
      <c r="Z36" s="9"/>
      <c r="AA36" s="8"/>
      <c r="AB36" s="9"/>
      <c r="AC36" s="8"/>
      <c r="AD36" s="9"/>
      <c r="AE36" s="8"/>
      <c r="AF36" s="9"/>
      <c r="AG36" s="8"/>
      <c r="AH36" s="9"/>
      <c r="AI36" s="8"/>
      <c r="AJ36" s="9"/>
      <c r="AK36" s="8"/>
      <c r="AL36" s="9"/>
      <c r="AM36" s="8"/>
      <c r="AN36" s="9"/>
      <c r="AO36" s="8"/>
      <c r="AP36" s="9"/>
      <c r="AQ36" s="8"/>
      <c r="AR36" s="9"/>
      <c r="AS36" s="8"/>
      <c r="AT36" s="9"/>
      <c r="AU36" s="8"/>
      <c r="AV36" s="9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>
        <f t="shared" si="3"/>
        <v>0</v>
      </c>
      <c r="BK36" s="8"/>
      <c r="BL36" s="4" t="s">
        <v>52</v>
      </c>
      <c r="BM36" s="58" t="s">
        <v>313</v>
      </c>
      <c r="BN36" t="s">
        <v>301</v>
      </c>
    </row>
    <row r="37" spans="1:66" ht="15">
      <c r="A37" s="2">
        <f t="shared" si="0"/>
        <v>35</v>
      </c>
      <c r="B37" s="4" t="s">
        <v>53</v>
      </c>
      <c r="C37" s="5"/>
      <c r="D37" s="6"/>
      <c r="E37" s="5"/>
      <c r="F37" s="6"/>
      <c r="G37" s="5"/>
      <c r="H37" s="6"/>
      <c r="I37" s="5"/>
      <c r="J37" s="6"/>
      <c r="K37" s="5"/>
      <c r="L37" s="6"/>
      <c r="M37" s="5">
        <v>150.35</v>
      </c>
      <c r="N37" s="6"/>
      <c r="O37" s="5"/>
      <c r="P37" s="6"/>
      <c r="Q37" s="5"/>
      <c r="R37" s="5"/>
      <c r="S37" s="6"/>
      <c r="T37" s="5"/>
      <c r="U37" s="6"/>
      <c r="V37" s="5"/>
      <c r="W37" s="6"/>
      <c r="X37" s="5"/>
      <c r="Y37" s="6"/>
      <c r="Z37" s="5">
        <v>150.35</v>
      </c>
      <c r="AA37" s="6"/>
      <c r="AB37" s="5"/>
      <c r="AC37" s="6"/>
      <c r="AD37" s="5"/>
      <c r="AE37" s="6"/>
      <c r="AF37" s="5"/>
      <c r="AG37" s="6"/>
      <c r="AH37" s="5"/>
      <c r="AI37" s="6"/>
      <c r="AJ37" s="5">
        <v>150.35</v>
      </c>
      <c r="AK37" s="33"/>
      <c r="AL37" s="34"/>
      <c r="AM37" s="33"/>
      <c r="AN37" s="34"/>
      <c r="AO37" s="33"/>
      <c r="AP37" s="34"/>
      <c r="AQ37" s="33"/>
      <c r="AR37" s="34"/>
      <c r="AS37" s="33"/>
      <c r="AT37" s="34"/>
      <c r="AU37" s="33"/>
      <c r="AV37" s="34"/>
      <c r="AW37" s="64">
        <v>210.35</v>
      </c>
      <c r="AX37" s="8"/>
      <c r="AY37" s="8" t="s">
        <v>397</v>
      </c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>
        <f t="shared" si="3"/>
        <v>661.4</v>
      </c>
      <c r="BK37" s="8"/>
      <c r="BL37" s="4" t="s">
        <v>53</v>
      </c>
      <c r="BM37" s="58" t="s">
        <v>313</v>
      </c>
      <c r="BN37" t="s">
        <v>335</v>
      </c>
    </row>
    <row r="38" spans="1:66" ht="15">
      <c r="A38" s="2">
        <f t="shared" si="0"/>
        <v>36</v>
      </c>
      <c r="B38" s="4" t="s">
        <v>54</v>
      </c>
      <c r="C38" s="5"/>
      <c r="D38" s="6"/>
      <c r="E38" s="5">
        <v>120</v>
      </c>
      <c r="F38" s="6"/>
      <c r="G38" s="5"/>
      <c r="H38" s="6"/>
      <c r="I38" s="5"/>
      <c r="J38" s="6"/>
      <c r="K38" s="5"/>
      <c r="L38" s="6"/>
      <c r="M38" s="5"/>
      <c r="N38" s="6"/>
      <c r="O38" s="5">
        <v>120.36</v>
      </c>
      <c r="P38" s="6"/>
      <c r="Q38" s="5"/>
      <c r="R38" s="5"/>
      <c r="S38" s="6"/>
      <c r="T38" s="5"/>
      <c r="U38" s="6"/>
      <c r="V38" s="5"/>
      <c r="W38" s="6"/>
      <c r="X38" s="5"/>
      <c r="Y38" s="6"/>
      <c r="Z38" s="5"/>
      <c r="AA38" s="6"/>
      <c r="AB38" s="5"/>
      <c r="AC38" s="6"/>
      <c r="AD38" s="5"/>
      <c r="AE38" s="6"/>
      <c r="AF38" s="5"/>
      <c r="AG38" s="6"/>
      <c r="AH38" s="5">
        <v>200.36</v>
      </c>
      <c r="AI38" s="6"/>
      <c r="AJ38" s="5"/>
      <c r="AK38" s="6"/>
      <c r="AL38" s="5"/>
      <c r="AM38" s="6"/>
      <c r="AN38" s="5">
        <v>160.36000000000001</v>
      </c>
      <c r="AO38" s="33"/>
      <c r="AP38" s="34"/>
      <c r="AQ38" s="33"/>
      <c r="AR38" s="34"/>
      <c r="AS38" s="33"/>
      <c r="AT38" s="34"/>
      <c r="AU38" s="33"/>
      <c r="AV38" s="34"/>
      <c r="AW38" s="33" t="s">
        <v>267</v>
      </c>
      <c r="AX38" s="33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>
        <f t="shared" si="3"/>
        <v>601.08000000000004</v>
      </c>
      <c r="BK38" s="8"/>
      <c r="BL38" s="4" t="s">
        <v>54</v>
      </c>
      <c r="BM38" s="59" t="s">
        <v>314</v>
      </c>
      <c r="BN38" t="s">
        <v>294</v>
      </c>
    </row>
    <row r="39" spans="1:66" ht="15">
      <c r="A39" s="2">
        <f t="shared" si="0"/>
        <v>37</v>
      </c>
      <c r="B39" s="4" t="s">
        <v>55</v>
      </c>
      <c r="C39" s="5">
        <v>275.37</v>
      </c>
      <c r="D39" s="6"/>
      <c r="E39" s="5"/>
      <c r="F39" s="6"/>
      <c r="G39" s="5"/>
      <c r="H39" s="6"/>
      <c r="I39" s="5"/>
      <c r="J39" s="6"/>
      <c r="K39" s="5"/>
      <c r="L39" s="6"/>
      <c r="M39" s="5"/>
      <c r="N39" s="6"/>
      <c r="O39" s="5"/>
      <c r="P39" s="6"/>
      <c r="Q39" s="5"/>
      <c r="R39" s="5"/>
      <c r="S39" s="6"/>
      <c r="T39" s="5"/>
      <c r="U39" s="6"/>
      <c r="V39" s="5"/>
      <c r="W39" s="6"/>
      <c r="X39" s="5"/>
      <c r="Y39" s="6"/>
      <c r="Z39" s="5">
        <v>300.37</v>
      </c>
      <c r="AA39" s="6"/>
      <c r="AB39" s="5"/>
      <c r="AC39" s="6"/>
      <c r="AD39" s="5"/>
      <c r="AE39" s="6"/>
      <c r="AF39" s="5"/>
      <c r="AG39" s="6"/>
      <c r="AH39" s="5"/>
      <c r="AI39" s="6"/>
      <c r="AJ39" s="5"/>
      <c r="AK39" s="6"/>
      <c r="AL39" s="5"/>
      <c r="AM39" s="6"/>
      <c r="AN39" s="5"/>
      <c r="AO39" s="6"/>
      <c r="AP39" s="5">
        <v>40.869999999999997</v>
      </c>
      <c r="AQ39" s="6"/>
      <c r="AR39" s="5"/>
      <c r="AS39" s="6"/>
      <c r="AT39" s="5"/>
      <c r="AU39" s="6"/>
      <c r="AV39" s="5"/>
      <c r="AW39" s="33" t="s">
        <v>271</v>
      </c>
      <c r="AX39" s="33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>
        <f t="shared" si="3"/>
        <v>616.61</v>
      </c>
      <c r="BK39" s="8"/>
      <c r="BL39" s="4" t="s">
        <v>55</v>
      </c>
      <c r="BM39" s="59" t="s">
        <v>314</v>
      </c>
      <c r="BN39" t="s">
        <v>302</v>
      </c>
    </row>
    <row r="40" spans="1:66" ht="15">
      <c r="A40" s="2">
        <f t="shared" si="0"/>
        <v>38</v>
      </c>
      <c r="B40" s="4" t="s">
        <v>56</v>
      </c>
      <c r="C40" s="5"/>
      <c r="D40" s="6"/>
      <c r="E40" s="5"/>
      <c r="F40" s="6"/>
      <c r="G40" s="5"/>
      <c r="H40" s="6"/>
      <c r="I40" s="5"/>
      <c r="J40" s="6"/>
      <c r="K40" s="5">
        <v>200.38</v>
      </c>
      <c r="L40" s="6"/>
      <c r="M40" s="5" t="s">
        <v>57</v>
      </c>
      <c r="N40" s="6"/>
      <c r="O40" s="5" t="s">
        <v>57</v>
      </c>
      <c r="P40" s="6"/>
      <c r="Q40" s="5" t="s">
        <v>57</v>
      </c>
      <c r="R40" s="14" t="s">
        <v>57</v>
      </c>
      <c r="S40" s="6"/>
      <c r="T40" s="5" t="s">
        <v>57</v>
      </c>
      <c r="U40" s="6"/>
      <c r="V40" s="5" t="s">
        <v>57</v>
      </c>
      <c r="W40" s="6"/>
      <c r="X40" s="14" t="s">
        <v>57</v>
      </c>
      <c r="Y40" s="11"/>
      <c r="Z40" s="10"/>
      <c r="AA40" s="11"/>
      <c r="AB40" s="10"/>
      <c r="AC40" s="11"/>
      <c r="AD40" s="10"/>
      <c r="AE40" s="11"/>
      <c r="AF40" s="10"/>
      <c r="AG40" s="11"/>
      <c r="AH40" s="10"/>
      <c r="AI40" s="11"/>
      <c r="AJ40" s="10"/>
      <c r="AK40" s="11"/>
      <c r="AL40" s="10">
        <v>360.38</v>
      </c>
      <c r="AM40" s="11"/>
      <c r="AN40" s="10"/>
      <c r="AO40" s="11"/>
      <c r="AP40" s="10"/>
      <c r="AQ40" s="11"/>
      <c r="AR40" s="10"/>
      <c r="AS40" s="11"/>
      <c r="AT40" s="10"/>
      <c r="AU40" s="11"/>
      <c r="AV40" s="10"/>
      <c r="AW40" s="64"/>
      <c r="AX40" s="64">
        <v>240.38</v>
      </c>
      <c r="AY40" s="64"/>
      <c r="AZ40" s="64"/>
      <c r="BA40" s="64"/>
      <c r="BB40" s="64"/>
      <c r="BC40" s="8"/>
      <c r="BD40" s="8"/>
      <c r="BE40" s="8"/>
      <c r="BF40" s="8"/>
      <c r="BG40" s="8"/>
      <c r="BH40" s="8"/>
      <c r="BI40" s="8"/>
      <c r="BJ40" s="8">
        <f t="shared" si="3"/>
        <v>801.14</v>
      </c>
      <c r="BK40" s="8"/>
      <c r="BL40" s="4" t="s">
        <v>56</v>
      </c>
      <c r="BM40" s="59" t="s">
        <v>314</v>
      </c>
      <c r="BN40" t="s">
        <v>294</v>
      </c>
    </row>
    <row r="41" spans="1:66" ht="15">
      <c r="A41" s="2">
        <v>39</v>
      </c>
      <c r="B41" s="4" t="s">
        <v>58</v>
      </c>
      <c r="C41" s="34"/>
      <c r="D41" s="33"/>
      <c r="E41" s="34"/>
      <c r="F41" s="33"/>
      <c r="G41" s="34"/>
      <c r="H41" s="33"/>
      <c r="I41" s="34"/>
      <c r="J41" s="33"/>
      <c r="K41" s="34"/>
      <c r="L41" s="33"/>
      <c r="M41" s="34"/>
      <c r="N41" s="33"/>
      <c r="O41" s="34"/>
      <c r="P41" s="33"/>
      <c r="Q41" s="34"/>
      <c r="R41" s="34"/>
      <c r="S41" s="33"/>
      <c r="T41" s="34"/>
      <c r="U41" s="33"/>
      <c r="V41" s="34"/>
      <c r="W41" s="33"/>
      <c r="X41" s="34"/>
      <c r="Y41" s="33"/>
      <c r="Z41" s="34"/>
      <c r="AA41" s="33"/>
      <c r="AB41" s="34"/>
      <c r="AC41" s="33"/>
      <c r="AD41" s="34"/>
      <c r="AE41" s="33"/>
      <c r="AF41" s="34"/>
      <c r="AG41" s="33"/>
      <c r="AH41" s="34"/>
      <c r="AI41" s="33"/>
      <c r="AJ41" s="34"/>
      <c r="AK41" s="33"/>
      <c r="AL41" s="34"/>
      <c r="AM41" s="33"/>
      <c r="AN41" s="34">
        <v>787.34</v>
      </c>
      <c r="AO41" s="56" t="s">
        <v>220</v>
      </c>
      <c r="AP41" s="34"/>
      <c r="AQ41" s="33"/>
      <c r="AR41" s="34"/>
      <c r="AS41" s="33"/>
      <c r="AT41" s="34"/>
      <c r="AU41" s="33"/>
      <c r="AV41" s="34"/>
      <c r="AW41" s="33"/>
      <c r="AX41" s="33"/>
      <c r="AY41" s="64"/>
      <c r="AZ41" s="64"/>
      <c r="BA41" s="64"/>
      <c r="BB41" s="64">
        <v>480</v>
      </c>
      <c r="BC41" s="64"/>
      <c r="BD41" s="64"/>
      <c r="BE41" s="64"/>
      <c r="BF41" s="64"/>
      <c r="BG41" s="64"/>
      <c r="BH41" s="64"/>
      <c r="BI41" s="8" t="s">
        <v>403</v>
      </c>
      <c r="BJ41" s="8">
        <f t="shared" si="3"/>
        <v>787.34</v>
      </c>
      <c r="BK41" s="8"/>
      <c r="BL41" s="4" t="s">
        <v>58</v>
      </c>
      <c r="BM41" s="59" t="s">
        <v>314</v>
      </c>
      <c r="BN41" t="s">
        <v>305</v>
      </c>
    </row>
    <row r="42" spans="1:66" ht="15">
      <c r="A42" s="2">
        <f t="shared" si="0"/>
        <v>40</v>
      </c>
      <c r="B42" s="4" t="s">
        <v>59</v>
      </c>
      <c r="C42" s="5">
        <v>300.39999999999998</v>
      </c>
      <c r="D42" s="6"/>
      <c r="E42" s="5"/>
      <c r="F42" s="6"/>
      <c r="G42" s="5"/>
      <c r="H42" s="6"/>
      <c r="I42" s="5"/>
      <c r="J42" s="6"/>
      <c r="K42" s="5"/>
      <c r="L42" s="6"/>
      <c r="M42" s="5"/>
      <c r="N42" s="6"/>
      <c r="O42" s="5">
        <v>300.39999999999998</v>
      </c>
      <c r="P42" s="6"/>
      <c r="Q42" s="5"/>
      <c r="R42" s="5"/>
      <c r="S42" s="6"/>
      <c r="T42" s="5"/>
      <c r="U42" s="6"/>
      <c r="V42" s="5"/>
      <c r="W42" s="6"/>
      <c r="X42" s="5"/>
      <c r="Y42" s="6"/>
      <c r="Z42" s="5">
        <v>300.39999999999998</v>
      </c>
      <c r="AA42" s="6"/>
      <c r="AB42" s="5"/>
      <c r="AC42" s="6"/>
      <c r="AD42" s="5"/>
      <c r="AE42" s="6"/>
      <c r="AF42" s="5"/>
      <c r="AG42" s="6"/>
      <c r="AH42" s="5"/>
      <c r="AI42" s="6"/>
      <c r="AJ42" s="5">
        <v>480.4</v>
      </c>
      <c r="AK42" s="6"/>
      <c r="AL42" s="5"/>
      <c r="AM42" s="6"/>
      <c r="AN42" s="5"/>
      <c r="AO42" s="6"/>
      <c r="AP42" s="5"/>
      <c r="AQ42" s="6"/>
      <c r="AR42" s="5"/>
      <c r="AS42" s="6"/>
      <c r="AT42" s="5"/>
      <c r="AU42" s="6"/>
      <c r="AV42" s="5"/>
      <c r="AW42" s="64" t="s">
        <v>391</v>
      </c>
      <c r="AX42" s="64"/>
      <c r="AY42" s="64"/>
      <c r="AZ42" s="64">
        <v>180</v>
      </c>
      <c r="BA42" s="64"/>
      <c r="BB42" s="64"/>
      <c r="BC42" s="8"/>
      <c r="BD42" s="8"/>
      <c r="BE42" s="8"/>
      <c r="BF42" s="8"/>
      <c r="BG42" s="8"/>
      <c r="BH42" s="8"/>
      <c r="BI42" s="8"/>
      <c r="BJ42" s="8">
        <f t="shared" si="3"/>
        <v>1381.6</v>
      </c>
      <c r="BK42" s="8"/>
      <c r="BL42" s="4" t="s">
        <v>59</v>
      </c>
      <c r="BM42" s="58" t="s">
        <v>313</v>
      </c>
      <c r="BN42" t="s">
        <v>335</v>
      </c>
    </row>
    <row r="43" spans="1:66" ht="15">
      <c r="A43" s="2">
        <f t="shared" si="0"/>
        <v>41</v>
      </c>
      <c r="B43" s="4" t="s">
        <v>60</v>
      </c>
      <c r="C43" s="5"/>
      <c r="D43" s="6"/>
      <c r="E43" s="5"/>
      <c r="F43" s="6"/>
      <c r="G43" s="5"/>
      <c r="H43" s="6"/>
      <c r="I43" s="5"/>
      <c r="J43" s="11"/>
      <c r="K43" s="10">
        <v>100</v>
      </c>
      <c r="L43" s="11"/>
      <c r="M43" s="10"/>
      <c r="N43" s="11"/>
      <c r="O43" s="10"/>
      <c r="P43" s="11"/>
      <c r="Q43" s="10"/>
      <c r="R43" s="10"/>
      <c r="S43" s="11"/>
      <c r="T43" s="10"/>
      <c r="U43" s="11"/>
      <c r="V43" s="10"/>
      <c r="W43" s="11"/>
      <c r="X43" s="10"/>
      <c r="Y43" s="11"/>
      <c r="Z43" s="10"/>
      <c r="AA43" s="11"/>
      <c r="AB43" s="10"/>
      <c r="AC43" s="11"/>
      <c r="AD43" s="10"/>
      <c r="AE43" s="11"/>
      <c r="AF43" s="10"/>
      <c r="AG43" s="11"/>
      <c r="AH43" s="10">
        <v>300.41000000000003</v>
      </c>
      <c r="AI43" s="11"/>
      <c r="AJ43" s="10"/>
      <c r="AK43" s="11"/>
      <c r="AL43" s="10"/>
      <c r="AM43" s="11"/>
      <c r="AN43" s="10">
        <v>200</v>
      </c>
      <c r="AO43" s="33"/>
      <c r="AP43" s="34"/>
      <c r="AQ43" s="33"/>
      <c r="AR43" s="34"/>
      <c r="AS43" s="33"/>
      <c r="AT43" s="34"/>
      <c r="AU43" s="33"/>
      <c r="AV43" s="34"/>
      <c r="AW43" s="71" t="s">
        <v>225</v>
      </c>
      <c r="AX43" s="71"/>
      <c r="AY43" s="71"/>
      <c r="AZ43" s="71">
        <v>160.41</v>
      </c>
      <c r="BA43" s="71"/>
      <c r="BB43" s="32"/>
      <c r="BC43" s="32"/>
      <c r="BD43" s="32"/>
      <c r="BE43" s="32"/>
      <c r="BF43" s="32"/>
      <c r="BG43" s="32"/>
      <c r="BH43" s="32"/>
      <c r="BI43" s="32"/>
      <c r="BJ43" s="8">
        <f t="shared" si="3"/>
        <v>600.41000000000008</v>
      </c>
      <c r="BK43" s="8"/>
      <c r="BL43" s="4" t="s">
        <v>60</v>
      </c>
      <c r="BM43" s="59" t="s">
        <v>314</v>
      </c>
      <c r="BN43" t="s">
        <v>306</v>
      </c>
    </row>
    <row r="44" spans="1:66" ht="15">
      <c r="A44" s="2">
        <f t="shared" si="0"/>
        <v>42</v>
      </c>
      <c r="B44" s="4" t="s">
        <v>61</v>
      </c>
      <c r="C44" s="5"/>
      <c r="D44" s="6"/>
      <c r="E44" s="5">
        <v>150.41999999999999</v>
      </c>
      <c r="F44" s="6"/>
      <c r="G44" s="5"/>
      <c r="H44" s="6"/>
      <c r="I44" s="5"/>
      <c r="J44" s="6"/>
      <c r="K44" s="5"/>
      <c r="L44" s="6"/>
      <c r="M44" s="5"/>
      <c r="N44" s="6"/>
      <c r="O44" s="5"/>
      <c r="P44" s="6"/>
      <c r="Q44" s="5"/>
      <c r="R44" s="5"/>
      <c r="S44" s="6"/>
      <c r="T44" s="5"/>
      <c r="U44" s="6"/>
      <c r="V44" s="5">
        <v>150.41999999999999</v>
      </c>
      <c r="W44" s="6"/>
      <c r="X44" s="5"/>
      <c r="Y44" s="6"/>
      <c r="Z44" s="5">
        <v>150.41999999999999</v>
      </c>
      <c r="AA44" s="6"/>
      <c r="AB44" s="5"/>
      <c r="AC44" s="6"/>
      <c r="AD44" s="5"/>
      <c r="AE44" s="6"/>
      <c r="AF44" s="5"/>
      <c r="AG44" s="6"/>
      <c r="AH44" s="5"/>
      <c r="AI44" s="6"/>
      <c r="AJ44" s="5"/>
      <c r="AK44" s="51"/>
      <c r="AL44" s="52"/>
      <c r="AM44" s="51"/>
      <c r="AN44" s="52"/>
      <c r="AO44" s="51"/>
      <c r="AP44" s="52"/>
      <c r="AQ44" s="51"/>
      <c r="AR44" s="52"/>
      <c r="AS44" s="51"/>
      <c r="AT44" s="76"/>
      <c r="AU44" s="51"/>
      <c r="AV44" s="76"/>
      <c r="AW44" s="8"/>
      <c r="AX44" s="8"/>
      <c r="AY44" s="8" t="s">
        <v>387</v>
      </c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>
        <f t="shared" si="3"/>
        <v>451.26</v>
      </c>
      <c r="BK44" s="8"/>
      <c r="BL44" s="4" t="s">
        <v>61</v>
      </c>
      <c r="BM44" s="58" t="s">
        <v>313</v>
      </c>
      <c r="BN44" t="s">
        <v>307</v>
      </c>
    </row>
    <row r="45" spans="1:66" ht="15">
      <c r="A45" s="2">
        <f t="shared" si="0"/>
        <v>43</v>
      </c>
      <c r="B45" s="4" t="s">
        <v>62</v>
      </c>
      <c r="C45" s="10"/>
      <c r="D45" s="11"/>
      <c r="E45" s="10"/>
      <c r="F45" s="11"/>
      <c r="G45" s="10"/>
      <c r="H45" s="11"/>
      <c r="I45" s="10"/>
      <c r="J45" s="11"/>
      <c r="K45" s="10"/>
      <c r="L45" s="11"/>
      <c r="M45" s="10">
        <v>300</v>
      </c>
      <c r="N45" s="11"/>
      <c r="O45" s="10"/>
      <c r="P45" s="11"/>
      <c r="Q45" s="10"/>
      <c r="R45" s="10"/>
      <c r="S45" s="11"/>
      <c r="T45" s="10"/>
      <c r="U45" s="11"/>
      <c r="V45" s="10"/>
      <c r="W45" s="11"/>
      <c r="X45" s="10"/>
      <c r="Y45" s="11"/>
      <c r="Z45" s="10"/>
      <c r="AA45" s="11"/>
      <c r="AB45" s="10"/>
      <c r="AC45" s="11"/>
      <c r="AD45" s="10"/>
      <c r="AE45" s="11"/>
      <c r="AF45" s="10"/>
      <c r="AG45" s="11"/>
      <c r="AH45" s="10">
        <v>300</v>
      </c>
      <c r="AI45" s="11"/>
      <c r="AJ45" s="10"/>
      <c r="AK45" s="11"/>
      <c r="AL45" s="10"/>
      <c r="AM45" s="11"/>
      <c r="AN45" s="10"/>
      <c r="AO45" s="11"/>
      <c r="AP45" s="10" t="s">
        <v>63</v>
      </c>
      <c r="AQ45" s="11"/>
      <c r="AR45" s="10" t="s">
        <v>64</v>
      </c>
      <c r="AS45" s="11"/>
      <c r="AT45" s="10" t="s">
        <v>64</v>
      </c>
      <c r="AU45" s="11"/>
      <c r="AV45" s="10" t="s">
        <v>64</v>
      </c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>
        <f t="shared" si="3"/>
        <v>600</v>
      </c>
      <c r="BK45" s="8"/>
      <c r="BL45" s="4" t="s">
        <v>62</v>
      </c>
      <c r="BM45" s="58" t="s">
        <v>313</v>
      </c>
      <c r="BN45" t="s">
        <v>308</v>
      </c>
    </row>
    <row r="46" spans="1:66" ht="15">
      <c r="A46" s="2">
        <f t="shared" si="0"/>
        <v>44</v>
      </c>
      <c r="B46" s="4" t="s">
        <v>65</v>
      </c>
      <c r="C46" s="5"/>
      <c r="D46" s="6"/>
      <c r="E46" s="5"/>
      <c r="F46" s="6"/>
      <c r="G46" s="5"/>
      <c r="H46" s="6"/>
      <c r="I46" s="5"/>
      <c r="J46" s="6"/>
      <c r="K46" s="5">
        <v>25.44</v>
      </c>
      <c r="L46" s="6"/>
      <c r="M46" s="5">
        <v>25.44</v>
      </c>
      <c r="N46" s="6"/>
      <c r="O46" s="5">
        <v>25.44</v>
      </c>
      <c r="P46" s="6"/>
      <c r="Q46" s="5">
        <v>25.44</v>
      </c>
      <c r="R46" s="5">
        <v>25.44</v>
      </c>
      <c r="S46" s="6"/>
      <c r="T46" s="5">
        <v>25.44</v>
      </c>
      <c r="U46" s="6"/>
      <c r="V46" s="5">
        <v>25.44</v>
      </c>
      <c r="W46" s="6">
        <v>25.44</v>
      </c>
      <c r="X46" s="5"/>
      <c r="Y46" s="6"/>
      <c r="Z46" s="5">
        <v>25.44</v>
      </c>
      <c r="AA46" s="6"/>
      <c r="AB46" s="5">
        <v>25.44</v>
      </c>
      <c r="AC46" s="6">
        <v>25.44</v>
      </c>
      <c r="AD46" s="5"/>
      <c r="AE46" s="11"/>
      <c r="AF46" s="10">
        <v>25.44</v>
      </c>
      <c r="AG46" s="11"/>
      <c r="AH46" s="10">
        <v>25.44</v>
      </c>
      <c r="AI46" s="11">
        <v>25.44</v>
      </c>
      <c r="AJ46" s="15"/>
      <c r="AK46" s="76"/>
      <c r="AL46" s="10">
        <v>25.44</v>
      </c>
      <c r="AM46" s="35"/>
      <c r="AN46" s="38">
        <v>25.44</v>
      </c>
      <c r="AO46" s="35"/>
      <c r="AP46" s="38">
        <v>40.44</v>
      </c>
      <c r="AQ46" s="35"/>
      <c r="AR46" s="38">
        <v>40.44</v>
      </c>
      <c r="AS46" s="35"/>
      <c r="AT46" s="34">
        <v>40.44</v>
      </c>
      <c r="AU46" s="35"/>
      <c r="AV46" s="34" t="s">
        <v>263</v>
      </c>
      <c r="AW46" s="64"/>
      <c r="AX46" s="64">
        <v>40.44</v>
      </c>
      <c r="AY46" s="64">
        <v>40.44</v>
      </c>
      <c r="AZ46" s="64">
        <v>40.44</v>
      </c>
      <c r="BA46" s="64">
        <v>40.44</v>
      </c>
      <c r="BB46" s="8"/>
      <c r="BC46" s="8"/>
      <c r="BD46" s="8"/>
      <c r="BE46" s="8"/>
      <c r="BF46" s="8"/>
      <c r="BG46" s="8"/>
      <c r="BH46" s="8"/>
      <c r="BI46" s="8"/>
      <c r="BJ46" s="8">
        <f t="shared" si="3"/>
        <v>568.79999999999995</v>
      </c>
      <c r="BK46" s="8"/>
      <c r="BL46" s="4" t="s">
        <v>65</v>
      </c>
      <c r="BM46" s="59" t="s">
        <v>314</v>
      </c>
      <c r="BN46" t="s">
        <v>295</v>
      </c>
    </row>
    <row r="47" spans="1:66" ht="15">
      <c r="A47" s="2">
        <f t="shared" si="0"/>
        <v>45</v>
      </c>
      <c r="B47" s="4" t="s">
        <v>66</v>
      </c>
      <c r="C47" s="5">
        <v>125.45</v>
      </c>
      <c r="D47" s="6"/>
      <c r="E47" s="5"/>
      <c r="F47" s="6"/>
      <c r="G47" s="5"/>
      <c r="H47" s="6"/>
      <c r="I47" s="5"/>
      <c r="J47" s="6"/>
      <c r="K47" s="5"/>
      <c r="L47" s="6"/>
      <c r="M47" s="5">
        <v>150.44999999999999</v>
      </c>
      <c r="N47" s="6"/>
      <c r="O47" s="5"/>
      <c r="P47" s="6"/>
      <c r="Q47" s="5"/>
      <c r="R47" s="5"/>
      <c r="S47" s="6"/>
      <c r="T47" s="5"/>
      <c r="U47" s="6"/>
      <c r="V47" s="5"/>
      <c r="W47" s="6"/>
      <c r="X47" s="5">
        <v>150.44999999999999</v>
      </c>
      <c r="Y47" s="11"/>
      <c r="Z47" s="10"/>
      <c r="AA47" s="11"/>
      <c r="AB47" s="10"/>
      <c r="AC47" s="11"/>
      <c r="AD47" s="10"/>
      <c r="AE47" s="11"/>
      <c r="AF47" s="10"/>
      <c r="AG47" s="11"/>
      <c r="AH47" s="10">
        <v>150.44999999999999</v>
      </c>
      <c r="AI47" s="11"/>
      <c r="AJ47" s="10"/>
      <c r="AK47" s="51"/>
      <c r="AL47" s="52"/>
      <c r="AM47" s="51"/>
      <c r="AN47" s="52"/>
      <c r="AO47" s="51"/>
      <c r="AP47" s="52"/>
      <c r="AQ47" s="51"/>
      <c r="AR47" s="52"/>
      <c r="AS47" s="51"/>
      <c r="AT47" s="52"/>
      <c r="AU47" s="51"/>
      <c r="AV47" s="52"/>
      <c r="AW47" s="8" t="s">
        <v>398</v>
      </c>
      <c r="AX47" s="8"/>
      <c r="AY47" s="8">
        <v>240.45</v>
      </c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>
        <f t="shared" si="3"/>
        <v>576.79999999999995</v>
      </c>
      <c r="BK47" s="8"/>
      <c r="BL47" s="4" t="s">
        <v>66</v>
      </c>
      <c r="BM47" s="58" t="s">
        <v>313</v>
      </c>
      <c r="BN47" t="s">
        <v>307</v>
      </c>
    </row>
    <row r="48" spans="1:66" ht="15">
      <c r="A48" s="2">
        <f>ROW(A46)</f>
        <v>46</v>
      </c>
      <c r="B48" s="4" t="s">
        <v>67</v>
      </c>
      <c r="C48" s="5">
        <v>150</v>
      </c>
      <c r="D48" s="6"/>
      <c r="E48" s="5"/>
      <c r="F48" s="6"/>
      <c r="G48" s="5"/>
      <c r="H48" s="6"/>
      <c r="I48" s="5"/>
      <c r="J48" s="6"/>
      <c r="K48" s="5"/>
      <c r="L48" s="6"/>
      <c r="M48" s="5"/>
      <c r="N48" s="6"/>
      <c r="O48" s="5">
        <v>150.46</v>
      </c>
      <c r="P48" s="6"/>
      <c r="Q48" s="5"/>
      <c r="R48" s="5"/>
      <c r="S48" s="6"/>
      <c r="T48" s="5"/>
      <c r="U48" s="6"/>
      <c r="V48" s="5"/>
      <c r="W48" s="6"/>
      <c r="X48" s="5"/>
      <c r="Y48" s="6"/>
      <c r="Z48" s="5"/>
      <c r="AA48" s="6"/>
      <c r="AB48" s="5">
        <v>300.45999999999998</v>
      </c>
      <c r="AC48" s="6"/>
      <c r="AD48" s="5"/>
      <c r="AE48" s="6"/>
      <c r="AF48" s="5"/>
      <c r="AG48" s="6"/>
      <c r="AH48" s="5"/>
      <c r="AI48" s="6"/>
      <c r="AJ48" s="5"/>
      <c r="AK48" s="6"/>
      <c r="AL48" s="5"/>
      <c r="AM48" s="6"/>
      <c r="AN48" s="5"/>
      <c r="AO48" s="6"/>
      <c r="AP48" s="5"/>
      <c r="AQ48" s="6"/>
      <c r="AR48" s="5"/>
      <c r="AS48" s="6"/>
      <c r="AT48" s="5"/>
      <c r="AU48" s="6"/>
      <c r="AV48" s="5"/>
      <c r="AW48" s="33">
        <v>480.46</v>
      </c>
      <c r="AX48" s="33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>
        <f t="shared" si="3"/>
        <v>1081.3800000000001</v>
      </c>
      <c r="BK48" s="8"/>
      <c r="BL48" s="4" t="s">
        <v>67</v>
      </c>
      <c r="BM48" s="59" t="s">
        <v>314</v>
      </c>
      <c r="BN48" t="s">
        <v>303</v>
      </c>
    </row>
    <row r="49" spans="1:66" ht="15">
      <c r="A49" s="2">
        <f t="shared" si="0"/>
        <v>47</v>
      </c>
      <c r="B49" s="4" t="s">
        <v>68</v>
      </c>
      <c r="C49" s="5"/>
      <c r="D49" s="6"/>
      <c r="E49" s="5"/>
      <c r="F49" s="6"/>
      <c r="G49" s="5">
        <v>300.47000000000003</v>
      </c>
      <c r="H49" s="6"/>
      <c r="I49" s="5"/>
      <c r="J49" s="6"/>
      <c r="K49" s="5"/>
      <c r="L49" s="6"/>
      <c r="M49" s="5"/>
      <c r="N49" s="6"/>
      <c r="O49" s="5"/>
      <c r="P49" s="6"/>
      <c r="Q49" s="5"/>
      <c r="R49" s="5"/>
      <c r="S49" s="6"/>
      <c r="T49" s="5"/>
      <c r="U49" s="6"/>
      <c r="V49" s="5"/>
      <c r="W49" s="6"/>
      <c r="X49" s="5"/>
      <c r="Y49" s="11"/>
      <c r="Z49" s="10"/>
      <c r="AA49" s="11"/>
      <c r="AB49" s="10">
        <v>300</v>
      </c>
      <c r="AC49" s="11"/>
      <c r="AD49" s="10"/>
      <c r="AE49" s="11"/>
      <c r="AF49" s="10"/>
      <c r="AG49" s="11"/>
      <c r="AH49" s="10"/>
      <c r="AI49" s="11"/>
      <c r="AJ49" s="10"/>
      <c r="AK49" s="11"/>
      <c r="AL49" s="10"/>
      <c r="AM49" s="11"/>
      <c r="AN49" s="10"/>
      <c r="AO49" s="11"/>
      <c r="AP49" s="10"/>
      <c r="AQ49" s="11"/>
      <c r="AR49" s="10"/>
      <c r="AS49" s="11"/>
      <c r="AT49" s="10"/>
      <c r="AU49" s="33"/>
      <c r="AV49" s="34"/>
      <c r="AW49" s="33">
        <v>480</v>
      </c>
      <c r="AX49" s="33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>
        <f t="shared" si="3"/>
        <v>1080.47</v>
      </c>
      <c r="BK49" s="8"/>
      <c r="BL49" s="4" t="s">
        <v>68</v>
      </c>
      <c r="BM49" s="59" t="s">
        <v>314</v>
      </c>
      <c r="BN49" t="s">
        <v>303</v>
      </c>
    </row>
    <row r="50" spans="1:66" ht="15">
      <c r="A50" s="2">
        <f t="shared" si="0"/>
        <v>48</v>
      </c>
      <c r="B50" s="4" t="s">
        <v>69</v>
      </c>
      <c r="C50" s="5"/>
      <c r="D50" s="6"/>
      <c r="E50" s="5">
        <v>300</v>
      </c>
      <c r="F50" s="6"/>
      <c r="G50" s="5"/>
      <c r="H50" s="6"/>
      <c r="I50" s="5"/>
      <c r="J50" s="6"/>
      <c r="K50" s="5"/>
      <c r="L50" s="6"/>
      <c r="M50" s="5"/>
      <c r="N50" s="6"/>
      <c r="O50" s="5"/>
      <c r="P50" s="6"/>
      <c r="Q50" s="5"/>
      <c r="R50" s="5"/>
      <c r="S50" s="6"/>
      <c r="T50" s="5"/>
      <c r="U50" s="6"/>
      <c r="V50" s="5"/>
      <c r="W50" s="6"/>
      <c r="X50" s="5"/>
      <c r="Y50" s="6"/>
      <c r="Z50" s="5"/>
      <c r="AA50" s="6"/>
      <c r="AB50" s="5">
        <v>300.48</v>
      </c>
      <c r="AC50" s="6"/>
      <c r="AD50" s="5"/>
      <c r="AE50" s="6"/>
      <c r="AF50" s="5"/>
      <c r="AG50" s="6"/>
      <c r="AH50" s="5"/>
      <c r="AI50" s="6"/>
      <c r="AJ50" s="5"/>
      <c r="AK50" s="6"/>
      <c r="AL50" s="5"/>
      <c r="AM50" s="6"/>
      <c r="AN50" s="5"/>
      <c r="AO50" s="6"/>
      <c r="AP50" s="5"/>
      <c r="AQ50" s="6"/>
      <c r="AR50" s="5"/>
      <c r="AS50" s="6"/>
      <c r="AT50" s="5"/>
      <c r="AU50" s="6"/>
      <c r="AV50" s="5"/>
      <c r="AW50" s="33">
        <v>480.48</v>
      </c>
      <c r="AX50" s="33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>
        <f t="shared" si="3"/>
        <v>1080.96</v>
      </c>
      <c r="BK50" s="8"/>
      <c r="BL50" s="4" t="s">
        <v>69</v>
      </c>
      <c r="BM50" s="59" t="s">
        <v>314</v>
      </c>
      <c r="BN50" t="s">
        <v>309</v>
      </c>
    </row>
    <row r="51" spans="1:66" ht="15">
      <c r="A51" s="2">
        <f t="shared" si="0"/>
        <v>49</v>
      </c>
      <c r="B51" s="4" t="s">
        <v>70</v>
      </c>
      <c r="C51" s="5"/>
      <c r="D51" s="6"/>
      <c r="E51" s="5"/>
      <c r="F51" s="6"/>
      <c r="G51" s="5"/>
      <c r="H51" s="6"/>
      <c r="I51" s="5"/>
      <c r="J51" s="6"/>
      <c r="K51" s="5"/>
      <c r="L51" s="6"/>
      <c r="M51" s="5"/>
      <c r="N51" s="6"/>
      <c r="O51" s="5"/>
      <c r="P51" s="6"/>
      <c r="Q51" s="5"/>
      <c r="R51" s="5"/>
      <c r="S51" s="6"/>
      <c r="T51" s="5"/>
      <c r="U51" s="6"/>
      <c r="V51" s="5"/>
      <c r="W51" s="6"/>
      <c r="X51" s="5"/>
      <c r="Y51" s="11"/>
      <c r="Z51" s="10"/>
      <c r="AA51" s="11"/>
      <c r="AB51" s="10"/>
      <c r="AC51" s="11"/>
      <c r="AD51" s="10">
        <v>300</v>
      </c>
      <c r="AE51" s="11"/>
      <c r="AF51" s="10"/>
      <c r="AG51" s="11"/>
      <c r="AH51" s="10"/>
      <c r="AI51" s="11"/>
      <c r="AJ51" s="10"/>
      <c r="AK51" s="11"/>
      <c r="AL51" s="10"/>
      <c r="AM51" s="11"/>
      <c r="AN51" s="10"/>
      <c r="AO51" s="11"/>
      <c r="AP51" s="10"/>
      <c r="AQ51" s="11"/>
      <c r="AR51" s="10"/>
      <c r="AS51" s="11"/>
      <c r="AT51" s="10"/>
      <c r="AU51" s="11"/>
      <c r="AV51" s="10"/>
      <c r="AW51" s="64"/>
      <c r="AX51" s="64"/>
      <c r="AY51" s="64">
        <v>240.49</v>
      </c>
      <c r="AZ51" s="64"/>
      <c r="BA51" s="64"/>
      <c r="BB51" s="64"/>
      <c r="BC51" s="8"/>
      <c r="BD51" s="8"/>
      <c r="BE51" s="8"/>
      <c r="BF51" s="8"/>
      <c r="BG51" s="8"/>
      <c r="BH51" s="8"/>
      <c r="BI51" s="8"/>
      <c r="BJ51" s="8">
        <f t="shared" si="3"/>
        <v>300</v>
      </c>
      <c r="BK51" s="8"/>
      <c r="BL51" s="4" t="s">
        <v>70</v>
      </c>
      <c r="BM51" s="58" t="s">
        <v>313</v>
      </c>
      <c r="BN51" t="s">
        <v>335</v>
      </c>
    </row>
    <row r="52" spans="1:66" ht="15">
      <c r="A52" s="2">
        <f t="shared" si="0"/>
        <v>50</v>
      </c>
      <c r="B52" s="4" t="s">
        <v>71</v>
      </c>
      <c r="C52" s="5"/>
      <c r="D52" s="6"/>
      <c r="E52" s="5"/>
      <c r="F52" s="6"/>
      <c r="G52" s="5"/>
      <c r="H52" s="6"/>
      <c r="I52" s="5"/>
      <c r="J52" s="6"/>
      <c r="K52" s="5"/>
      <c r="L52" s="6"/>
      <c r="M52" s="5"/>
      <c r="N52" s="6"/>
      <c r="O52" s="5"/>
      <c r="P52" s="6"/>
      <c r="Q52" s="5"/>
      <c r="R52" s="5"/>
      <c r="S52" s="6"/>
      <c r="T52" s="5"/>
      <c r="U52" s="6"/>
      <c r="V52" s="5"/>
      <c r="W52" s="6"/>
      <c r="X52" s="5"/>
      <c r="Y52" s="6"/>
      <c r="Z52" s="5"/>
      <c r="AA52" s="6"/>
      <c r="AB52" s="5">
        <v>300.5</v>
      </c>
      <c r="AC52" s="6"/>
      <c r="AD52" s="5"/>
      <c r="AE52" s="6"/>
      <c r="AF52" s="5"/>
      <c r="AG52" s="6"/>
      <c r="AH52" s="5"/>
      <c r="AI52" s="6"/>
      <c r="AJ52" s="5"/>
      <c r="AK52" s="6"/>
      <c r="AL52" s="5"/>
      <c r="AM52" s="6"/>
      <c r="AN52" s="5"/>
      <c r="AO52" s="6"/>
      <c r="AP52" s="5"/>
      <c r="AQ52" s="6"/>
      <c r="AR52" s="5"/>
      <c r="AS52" s="6"/>
      <c r="AT52" s="5"/>
      <c r="AU52" s="6"/>
      <c r="AV52" s="5"/>
      <c r="AW52" s="64"/>
      <c r="AX52" s="64"/>
      <c r="AY52" s="64"/>
      <c r="AZ52" s="64"/>
      <c r="BA52" s="64">
        <v>480.5</v>
      </c>
      <c r="BB52" s="64"/>
      <c r="BC52" s="64"/>
      <c r="BD52" s="64"/>
      <c r="BE52" s="64"/>
      <c r="BF52" s="64"/>
      <c r="BG52" s="64"/>
      <c r="BH52" s="64"/>
      <c r="BI52" s="8"/>
      <c r="BJ52" s="8">
        <f t="shared" si="3"/>
        <v>300.5</v>
      </c>
      <c r="BK52" s="8"/>
      <c r="BL52" s="4" t="s">
        <v>71</v>
      </c>
      <c r="BM52" s="58" t="s">
        <v>313</v>
      </c>
      <c r="BN52" t="s">
        <v>335</v>
      </c>
    </row>
    <row r="53" spans="1:66" ht="15">
      <c r="A53" s="2">
        <f t="shared" si="0"/>
        <v>51</v>
      </c>
      <c r="B53" s="4" t="s">
        <v>72</v>
      </c>
      <c r="C53" s="5"/>
      <c r="D53" s="6"/>
      <c r="E53" s="5"/>
      <c r="F53" s="6"/>
      <c r="G53" s="5"/>
      <c r="H53" s="6"/>
      <c r="I53" s="5"/>
      <c r="J53" s="6"/>
      <c r="K53" s="5"/>
      <c r="L53" s="6"/>
      <c r="M53" s="5"/>
      <c r="N53" s="6"/>
      <c r="O53" s="5"/>
      <c r="P53" s="6"/>
      <c r="Q53" s="5"/>
      <c r="R53" s="5"/>
      <c r="S53" s="6"/>
      <c r="T53" s="5"/>
      <c r="U53" s="6"/>
      <c r="V53" s="5"/>
      <c r="W53" s="6"/>
      <c r="X53" s="5"/>
      <c r="Y53" s="6"/>
      <c r="Z53" s="5"/>
      <c r="AA53" s="6"/>
      <c r="AB53" s="5">
        <v>400.51</v>
      </c>
      <c r="AC53" s="6"/>
      <c r="AD53" s="5"/>
      <c r="AE53" s="6"/>
      <c r="AF53" s="5"/>
      <c r="AG53" s="6"/>
      <c r="AH53" s="5"/>
      <c r="AI53" s="6"/>
      <c r="AJ53" s="5"/>
      <c r="AK53" s="6"/>
      <c r="AL53" s="5"/>
      <c r="AM53" s="6"/>
      <c r="AN53" s="5"/>
      <c r="AO53" s="6"/>
      <c r="AP53" s="5"/>
      <c r="AQ53" s="6"/>
      <c r="AR53" s="5"/>
      <c r="AS53" s="6"/>
      <c r="AT53" s="5"/>
      <c r="AU53" s="6"/>
      <c r="AV53" s="5"/>
      <c r="AW53" s="33">
        <v>480.51</v>
      </c>
      <c r="AX53" s="33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>
        <f t="shared" si="3"/>
        <v>881.02</v>
      </c>
      <c r="BK53" s="8"/>
      <c r="BL53" s="4" t="s">
        <v>72</v>
      </c>
      <c r="BM53" s="59" t="s">
        <v>314</v>
      </c>
      <c r="BN53" t="s">
        <v>303</v>
      </c>
    </row>
    <row r="54" spans="1:66" ht="15">
      <c r="A54" s="2">
        <f t="shared" si="0"/>
        <v>52</v>
      </c>
      <c r="B54" s="4" t="s">
        <v>73</v>
      </c>
      <c r="C54" s="5"/>
      <c r="D54" s="6"/>
      <c r="E54" s="5"/>
      <c r="F54" s="6"/>
      <c r="G54" s="5"/>
      <c r="H54" s="6"/>
      <c r="I54" s="5"/>
      <c r="J54" s="6"/>
      <c r="K54" s="5">
        <v>150.52000000000001</v>
      </c>
      <c r="L54" s="6"/>
      <c r="M54" s="5"/>
      <c r="N54" s="6"/>
      <c r="O54" s="5"/>
      <c r="P54" s="6"/>
      <c r="Q54" s="5"/>
      <c r="R54" s="5"/>
      <c r="S54" s="6"/>
      <c r="T54" s="5"/>
      <c r="U54" s="6"/>
      <c r="V54" s="5"/>
      <c r="W54" s="6"/>
      <c r="X54" s="5">
        <v>300.52</v>
      </c>
      <c r="Y54" s="6"/>
      <c r="Z54" s="5"/>
      <c r="AA54" s="6"/>
      <c r="AB54" s="5"/>
      <c r="AC54" s="6"/>
      <c r="AD54" s="5"/>
      <c r="AE54" s="6"/>
      <c r="AF54" s="5"/>
      <c r="AG54" s="6"/>
      <c r="AH54" s="5"/>
      <c r="AI54" s="6"/>
      <c r="AJ54" s="5"/>
      <c r="AK54" s="6"/>
      <c r="AL54" s="5"/>
      <c r="AM54" s="6"/>
      <c r="AN54" s="5"/>
      <c r="AO54" s="6"/>
      <c r="AP54" s="5"/>
      <c r="AQ54" s="6"/>
      <c r="AR54" s="5"/>
      <c r="AS54" s="6"/>
      <c r="AT54" s="5"/>
      <c r="AU54" s="6"/>
      <c r="AV54" s="5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>
        <f t="shared" si="3"/>
        <v>451.03999999999996</v>
      </c>
      <c r="BK54" s="8"/>
      <c r="BL54" s="4" t="s">
        <v>73</v>
      </c>
      <c r="BM54" s="58" t="s">
        <v>313</v>
      </c>
      <c r="BN54" t="s">
        <v>335</v>
      </c>
    </row>
    <row r="55" spans="1:66" ht="15">
      <c r="A55" s="2">
        <f t="shared" si="0"/>
        <v>53</v>
      </c>
      <c r="B55" s="4" t="s">
        <v>74</v>
      </c>
      <c r="C55" s="5"/>
      <c r="D55" s="6"/>
      <c r="E55" s="5"/>
      <c r="F55" s="6"/>
      <c r="G55" s="5"/>
      <c r="H55" s="6"/>
      <c r="I55" s="5">
        <v>225.53</v>
      </c>
      <c r="J55" s="6"/>
      <c r="K55" s="5"/>
      <c r="L55" s="6"/>
      <c r="M55" s="5"/>
      <c r="N55" s="6"/>
      <c r="O55" s="5"/>
      <c r="P55" s="6"/>
      <c r="Q55" s="5"/>
      <c r="R55" s="5"/>
      <c r="S55" s="6"/>
      <c r="T55" s="5"/>
      <c r="U55" s="6"/>
      <c r="V55" s="5"/>
      <c r="W55" s="6"/>
      <c r="X55" s="5"/>
      <c r="Y55" s="6"/>
      <c r="Z55" s="5"/>
      <c r="AA55" s="6"/>
      <c r="AB55" s="5">
        <v>300</v>
      </c>
      <c r="AC55" s="6"/>
      <c r="AD55" s="5"/>
      <c r="AE55" s="6"/>
      <c r="AF55" s="5"/>
      <c r="AG55" s="6"/>
      <c r="AH55" s="5"/>
      <c r="AI55" s="6"/>
      <c r="AJ55" s="5"/>
      <c r="AK55" s="6"/>
      <c r="AL55" s="5"/>
      <c r="AM55" s="6"/>
      <c r="AN55" s="5"/>
      <c r="AO55" s="6"/>
      <c r="AP55" s="5"/>
      <c r="AQ55" s="6"/>
      <c r="AR55" s="5"/>
      <c r="AS55" s="6"/>
      <c r="AT55" s="5"/>
      <c r="AU55" s="6"/>
      <c r="AV55" s="5"/>
      <c r="AW55" s="64">
        <v>120.53</v>
      </c>
      <c r="AX55" s="64"/>
      <c r="AY55" s="64"/>
      <c r="AZ55" s="64">
        <v>120.53</v>
      </c>
      <c r="BA55" s="64"/>
      <c r="BB55" s="64"/>
      <c r="BC55" s="8"/>
      <c r="BD55" s="8"/>
      <c r="BE55" s="8"/>
      <c r="BF55" s="8"/>
      <c r="BG55" s="8"/>
      <c r="BH55" s="8"/>
      <c r="BI55" s="8"/>
      <c r="BJ55" s="8">
        <f t="shared" si="3"/>
        <v>646.05999999999995</v>
      </c>
      <c r="BK55" s="8"/>
      <c r="BL55" s="4" t="s">
        <v>74</v>
      </c>
      <c r="BM55" s="59" t="s">
        <v>314</v>
      </c>
      <c r="BN55" t="s">
        <v>310</v>
      </c>
    </row>
    <row r="56" spans="1:66" ht="15">
      <c r="A56" s="2">
        <f t="shared" si="0"/>
        <v>54</v>
      </c>
      <c r="B56" s="4" t="s">
        <v>75</v>
      </c>
      <c r="C56" s="5"/>
      <c r="D56" s="6"/>
      <c r="E56" s="5"/>
      <c r="F56" s="6"/>
      <c r="G56" s="5"/>
      <c r="H56" s="6"/>
      <c r="I56" s="5"/>
      <c r="J56" s="6"/>
      <c r="K56" s="5"/>
      <c r="L56" s="6"/>
      <c r="M56" s="5"/>
      <c r="N56" s="6"/>
      <c r="O56" s="5"/>
      <c r="P56" s="6"/>
      <c r="Q56" s="5"/>
      <c r="R56" s="5"/>
      <c r="S56" s="6"/>
      <c r="T56" s="5"/>
      <c r="U56" s="6"/>
      <c r="V56" s="5"/>
      <c r="W56" s="6"/>
      <c r="X56" s="5"/>
      <c r="Y56" s="6"/>
      <c r="Z56" s="5">
        <v>150.54</v>
      </c>
      <c r="AA56" s="6"/>
      <c r="AB56" s="5"/>
      <c r="AC56" s="6"/>
      <c r="AD56" s="5"/>
      <c r="AE56" s="6"/>
      <c r="AF56" s="5"/>
      <c r="AG56" s="6"/>
      <c r="AH56" s="5"/>
      <c r="AI56" s="6"/>
      <c r="AJ56" s="5"/>
      <c r="AK56" s="11"/>
      <c r="AL56" s="10">
        <v>50.54</v>
      </c>
      <c r="AM56" s="11"/>
      <c r="AN56" s="10"/>
      <c r="AO56" s="33"/>
      <c r="AP56" s="34">
        <v>200.54</v>
      </c>
      <c r="AQ56" s="33"/>
      <c r="AR56" s="34"/>
      <c r="AS56" s="33"/>
      <c r="AT56" s="34"/>
      <c r="AU56" s="33"/>
      <c r="AV56" s="34"/>
      <c r="AW56" s="64" t="s">
        <v>384</v>
      </c>
      <c r="AX56" s="64">
        <v>80.540000000000006</v>
      </c>
      <c r="AY56" s="64"/>
      <c r="AZ56" s="64">
        <v>200</v>
      </c>
      <c r="BA56" s="64"/>
      <c r="BB56" s="64"/>
      <c r="BC56" s="64"/>
      <c r="BD56" s="64"/>
      <c r="BE56" s="8"/>
      <c r="BF56" s="8"/>
      <c r="BG56" s="8"/>
      <c r="BH56" s="8"/>
      <c r="BI56" s="8"/>
      <c r="BJ56" s="8">
        <f t="shared" si="3"/>
        <v>482.16</v>
      </c>
      <c r="BK56" s="8"/>
      <c r="BL56" s="4" t="s">
        <v>75</v>
      </c>
      <c r="BM56" s="59" t="s">
        <v>314</v>
      </c>
      <c r="BN56" t="s">
        <v>310</v>
      </c>
    </row>
    <row r="57" spans="1:66" ht="15">
      <c r="A57" s="2">
        <f t="shared" si="0"/>
        <v>55</v>
      </c>
      <c r="B57" s="4" t="s">
        <v>76</v>
      </c>
      <c r="C57" s="5"/>
      <c r="D57" s="6"/>
      <c r="E57" s="5"/>
      <c r="F57" s="6"/>
      <c r="G57" s="5"/>
      <c r="H57" s="6"/>
      <c r="I57" s="5"/>
      <c r="J57" s="6"/>
      <c r="K57" s="5"/>
      <c r="L57" s="6"/>
      <c r="M57" s="5"/>
      <c r="N57" s="33"/>
      <c r="O57" s="34"/>
      <c r="P57" s="33"/>
      <c r="Q57" s="34"/>
      <c r="R57" s="34"/>
      <c r="S57" s="33"/>
      <c r="T57" s="34"/>
      <c r="U57" s="33"/>
      <c r="V57" s="34"/>
      <c r="W57" s="33"/>
      <c r="X57" s="34"/>
      <c r="Y57" s="33"/>
      <c r="Z57" s="34"/>
      <c r="AA57" s="33"/>
      <c r="AB57" s="34"/>
      <c r="AC57" s="33"/>
      <c r="AD57" s="34"/>
      <c r="AE57" s="33"/>
      <c r="AF57" s="34"/>
      <c r="AG57" s="33"/>
      <c r="AH57" s="34"/>
      <c r="AI57" s="33"/>
      <c r="AJ57" s="34"/>
      <c r="AK57" s="33"/>
      <c r="AL57" s="34"/>
      <c r="AM57" s="33"/>
      <c r="AN57" s="34"/>
      <c r="AO57" s="33"/>
      <c r="AP57" s="34"/>
      <c r="AQ57" s="33"/>
      <c r="AR57" s="34">
        <v>350.55</v>
      </c>
      <c r="AS57" s="33" t="s">
        <v>260</v>
      </c>
      <c r="AT57" s="34">
        <v>120.55</v>
      </c>
      <c r="AU57" s="33"/>
      <c r="AV57" s="34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>
        <f t="shared" si="3"/>
        <v>471.1</v>
      </c>
      <c r="BK57" s="8"/>
      <c r="BL57" s="4" t="s">
        <v>76</v>
      </c>
      <c r="BM57" s="58" t="s">
        <v>313</v>
      </c>
      <c r="BN57" t="s">
        <v>335</v>
      </c>
    </row>
    <row r="58" spans="1:66" ht="15">
      <c r="A58" s="2">
        <f t="shared" si="0"/>
        <v>56</v>
      </c>
      <c r="B58" s="4" t="s">
        <v>77</v>
      </c>
      <c r="C58" s="5"/>
      <c r="D58" s="6"/>
      <c r="E58" s="5">
        <v>100.56</v>
      </c>
      <c r="F58" s="6"/>
      <c r="G58" s="5"/>
      <c r="H58" s="6"/>
      <c r="I58" s="5"/>
      <c r="J58" s="6"/>
      <c r="K58" s="5"/>
      <c r="L58" s="6"/>
      <c r="M58" s="5">
        <v>100.56</v>
      </c>
      <c r="N58" s="6"/>
      <c r="O58" s="5"/>
      <c r="P58" s="6"/>
      <c r="Q58" s="5"/>
      <c r="R58" s="5"/>
      <c r="S58" s="6"/>
      <c r="T58" s="5"/>
      <c r="U58" s="6"/>
      <c r="V58" s="5"/>
      <c r="W58" s="6"/>
      <c r="X58" s="5"/>
      <c r="Y58" s="6"/>
      <c r="Z58" s="5"/>
      <c r="AA58" s="6"/>
      <c r="AB58" s="5"/>
      <c r="AC58" s="6"/>
      <c r="AD58" s="5"/>
      <c r="AE58" s="6"/>
      <c r="AF58" s="5"/>
      <c r="AG58" s="11"/>
      <c r="AH58" s="10"/>
      <c r="AI58" s="11"/>
      <c r="AJ58" s="10"/>
      <c r="AK58" s="11"/>
      <c r="AL58" s="10">
        <v>125.56</v>
      </c>
      <c r="AM58" s="11"/>
      <c r="AN58" s="10"/>
      <c r="AO58" s="11"/>
      <c r="AP58" s="57" t="s">
        <v>64</v>
      </c>
      <c r="AQ58" s="33"/>
      <c r="AR58" s="34"/>
      <c r="AS58" s="33"/>
      <c r="AT58" s="34">
        <v>120.56</v>
      </c>
      <c r="AU58" s="33"/>
      <c r="AV58" s="34"/>
      <c r="AW58" s="64"/>
      <c r="AX58" s="64"/>
      <c r="AY58" s="64"/>
      <c r="AZ58" s="64"/>
      <c r="BA58" s="8"/>
      <c r="BB58" s="8"/>
      <c r="BC58" s="8"/>
      <c r="BD58" s="8"/>
      <c r="BE58" s="8"/>
      <c r="BF58" s="8"/>
      <c r="BG58" s="8"/>
      <c r="BH58" s="8"/>
      <c r="BI58" s="8"/>
      <c r="BJ58" s="8">
        <f t="shared" si="3"/>
        <v>447.24</v>
      </c>
      <c r="BK58" s="8"/>
      <c r="BL58" s="4" t="s">
        <v>77</v>
      </c>
      <c r="BM58" s="58" t="s">
        <v>313</v>
      </c>
      <c r="BN58" t="s">
        <v>311</v>
      </c>
    </row>
    <row r="59" spans="1:66" ht="15" customHeight="1">
      <c r="A59" s="2">
        <f t="shared" si="0"/>
        <v>57</v>
      </c>
      <c r="B59" s="4" t="s">
        <v>78</v>
      </c>
      <c r="C59" s="5" t="s">
        <v>79</v>
      </c>
      <c r="D59" s="6"/>
      <c r="E59" s="5">
        <v>300.57</v>
      </c>
      <c r="F59" s="6"/>
      <c r="G59" s="5"/>
      <c r="H59" s="6"/>
      <c r="I59" s="5"/>
      <c r="J59" s="6"/>
      <c r="K59" s="5"/>
      <c r="L59" s="6"/>
      <c r="M59" s="5"/>
      <c r="N59" s="6"/>
      <c r="O59" s="5"/>
      <c r="P59" s="6"/>
      <c r="Q59" s="5"/>
      <c r="R59" s="5"/>
      <c r="S59" s="6"/>
      <c r="T59" s="5"/>
      <c r="U59" s="6"/>
      <c r="V59" s="5"/>
      <c r="W59" s="6"/>
      <c r="X59" s="5"/>
      <c r="Y59" s="42"/>
      <c r="Z59" s="43"/>
      <c r="AA59" s="42"/>
      <c r="AB59" s="43"/>
      <c r="AC59" s="42"/>
      <c r="AD59" s="43"/>
      <c r="AE59" s="42"/>
      <c r="AF59" s="43"/>
      <c r="AG59" s="42"/>
      <c r="AH59" s="43"/>
      <c r="AI59" s="42"/>
      <c r="AJ59" s="43"/>
      <c r="AK59" s="42"/>
      <c r="AL59" s="43"/>
      <c r="AM59" s="42"/>
      <c r="AN59" s="43"/>
      <c r="AO59" s="42"/>
      <c r="AP59" s="31">
        <v>360.57</v>
      </c>
      <c r="AQ59" s="42"/>
      <c r="AR59" s="43"/>
      <c r="AS59" s="42"/>
      <c r="AT59" s="43"/>
      <c r="AU59" s="42"/>
      <c r="AV59" s="43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>
        <f t="shared" si="3"/>
        <v>661.14</v>
      </c>
      <c r="BK59" s="8"/>
      <c r="BL59" s="4" t="s">
        <v>78</v>
      </c>
      <c r="BM59" s="58" t="s">
        <v>313</v>
      </c>
      <c r="BN59" t="s">
        <v>335</v>
      </c>
    </row>
    <row r="60" spans="1:66" ht="15">
      <c r="A60" s="2">
        <f t="shared" si="0"/>
        <v>58</v>
      </c>
      <c r="B60" s="4" t="s">
        <v>80</v>
      </c>
      <c r="C60" s="5">
        <v>25.58</v>
      </c>
      <c r="D60" s="6"/>
      <c r="E60" s="5">
        <v>25.58</v>
      </c>
      <c r="F60" s="6"/>
      <c r="G60" s="5">
        <v>25.58</v>
      </c>
      <c r="H60" s="6"/>
      <c r="I60" s="5">
        <v>25.58</v>
      </c>
      <c r="J60" s="6"/>
      <c r="K60" s="5">
        <v>25.58</v>
      </c>
      <c r="L60" s="6"/>
      <c r="M60" s="5">
        <v>25.58</v>
      </c>
      <c r="N60" s="6"/>
      <c r="O60" s="5">
        <v>25.58</v>
      </c>
      <c r="P60" s="6"/>
      <c r="Q60" s="5">
        <v>25.58</v>
      </c>
      <c r="R60" s="5">
        <v>25.58</v>
      </c>
      <c r="S60" s="6"/>
      <c r="T60" s="5">
        <v>25.58</v>
      </c>
      <c r="U60" s="6"/>
      <c r="V60" s="5">
        <v>25.58</v>
      </c>
      <c r="W60" s="6">
        <v>25.58</v>
      </c>
      <c r="X60" s="5"/>
      <c r="Y60" s="6"/>
      <c r="Z60" s="5">
        <v>25.58</v>
      </c>
      <c r="AA60" s="6"/>
      <c r="AB60" s="5">
        <v>25.58</v>
      </c>
      <c r="AC60" s="11"/>
      <c r="AD60" s="10">
        <v>25.58</v>
      </c>
      <c r="AE60" s="11"/>
      <c r="AF60" s="10">
        <v>25.58</v>
      </c>
      <c r="AG60" s="11"/>
      <c r="AH60" s="10">
        <v>25.58</v>
      </c>
      <c r="AI60" s="11"/>
      <c r="AJ60" s="10">
        <v>25.58</v>
      </c>
      <c r="AK60" s="11"/>
      <c r="AL60" s="10">
        <v>25.58</v>
      </c>
      <c r="AM60" s="33"/>
      <c r="AN60" s="34">
        <v>25.58</v>
      </c>
      <c r="AO60" s="33"/>
      <c r="AP60" s="34">
        <v>40.58</v>
      </c>
      <c r="AQ60" s="33"/>
      <c r="AR60" s="34">
        <v>40.58</v>
      </c>
      <c r="AS60" s="33"/>
      <c r="AT60" s="34">
        <v>40.58</v>
      </c>
      <c r="AU60" s="33"/>
      <c r="AV60" s="34">
        <v>40.58</v>
      </c>
      <c r="AW60" s="64">
        <v>40.58</v>
      </c>
      <c r="AX60" s="64" t="s">
        <v>275</v>
      </c>
      <c r="AY60" s="64">
        <v>40.58</v>
      </c>
      <c r="AZ60" s="64">
        <v>40.58</v>
      </c>
      <c r="BA60" s="64">
        <v>40.58</v>
      </c>
      <c r="BB60" s="64">
        <v>40.58</v>
      </c>
      <c r="BC60" s="8"/>
      <c r="BD60" s="8"/>
      <c r="BE60" s="8"/>
      <c r="BF60" s="8"/>
      <c r="BG60" s="8"/>
      <c r="BH60" s="8"/>
      <c r="BI60" s="8"/>
      <c r="BJ60" s="8">
        <f>SUM(C60:BB60)</f>
        <v>876.82000000000016</v>
      </c>
      <c r="BK60" s="8"/>
      <c r="BL60" s="4" t="s">
        <v>80</v>
      </c>
      <c r="BM60" s="59" t="s">
        <v>314</v>
      </c>
      <c r="BN60" t="s">
        <v>295</v>
      </c>
    </row>
    <row r="61" spans="1:66" ht="15">
      <c r="A61" s="2">
        <f t="shared" si="0"/>
        <v>59</v>
      </c>
      <c r="B61" s="4" t="s">
        <v>81</v>
      </c>
      <c r="C61" s="5"/>
      <c r="D61" s="6"/>
      <c r="E61" s="5"/>
      <c r="F61" s="6"/>
      <c r="G61" s="5"/>
      <c r="H61" s="6"/>
      <c r="I61" s="5"/>
      <c r="J61" s="6"/>
      <c r="K61" s="5">
        <v>300.58999999999997</v>
      </c>
      <c r="L61" s="6"/>
      <c r="M61" s="5"/>
      <c r="N61" s="6"/>
      <c r="O61" s="5"/>
      <c r="P61" s="6"/>
      <c r="Q61" s="5"/>
      <c r="R61" s="5"/>
      <c r="S61" s="6"/>
      <c r="T61" s="5"/>
      <c r="U61" s="6"/>
      <c r="V61" s="5"/>
      <c r="W61" s="6"/>
      <c r="X61" s="5"/>
      <c r="Y61" s="11"/>
      <c r="Z61" s="10"/>
      <c r="AA61" s="11"/>
      <c r="AB61" s="10"/>
      <c r="AC61" s="11"/>
      <c r="AD61" s="10"/>
      <c r="AE61" s="11"/>
      <c r="AF61" s="10"/>
      <c r="AG61" s="11"/>
      <c r="AH61" s="10">
        <v>300.58999999999997</v>
      </c>
      <c r="AI61" s="11"/>
      <c r="AJ61" s="10"/>
      <c r="AK61" s="11"/>
      <c r="AL61" s="10"/>
      <c r="AM61" s="11"/>
      <c r="AN61" s="10"/>
      <c r="AO61" s="11"/>
      <c r="AP61" s="10" t="s">
        <v>64</v>
      </c>
      <c r="AQ61" s="11"/>
      <c r="AR61" s="10" t="s">
        <v>64</v>
      </c>
      <c r="AS61" s="11"/>
      <c r="AT61" s="10" t="s">
        <v>64</v>
      </c>
      <c r="AU61" s="33"/>
      <c r="AV61" s="34" t="s">
        <v>64</v>
      </c>
      <c r="AW61" s="64"/>
      <c r="AX61" s="64"/>
      <c r="AY61" s="64"/>
      <c r="AZ61" s="64">
        <v>240.59</v>
      </c>
      <c r="BA61" s="64"/>
      <c r="BB61" s="64"/>
      <c r="BC61" s="8"/>
      <c r="BD61" s="8"/>
      <c r="BE61" s="8"/>
      <c r="BF61" s="8"/>
      <c r="BG61" s="8"/>
      <c r="BH61" s="8"/>
      <c r="BI61" s="8"/>
      <c r="BJ61" s="8">
        <f t="shared" ref="BJ61:BJ74" si="4">SUM(C61:AX61)</f>
        <v>601.17999999999995</v>
      </c>
      <c r="BK61" s="8"/>
      <c r="BL61" s="4" t="s">
        <v>81</v>
      </c>
      <c r="BM61" s="58" t="s">
        <v>313</v>
      </c>
      <c r="BN61" t="s">
        <v>312</v>
      </c>
    </row>
    <row r="62" spans="1:66" ht="15">
      <c r="A62" s="2">
        <f t="shared" si="0"/>
        <v>60</v>
      </c>
      <c r="B62" s="4" t="s">
        <v>82</v>
      </c>
      <c r="C62" s="5"/>
      <c r="D62" s="6"/>
      <c r="E62" s="5"/>
      <c r="F62" s="6"/>
      <c r="G62" s="5"/>
      <c r="H62" s="6"/>
      <c r="I62" s="5"/>
      <c r="J62" s="6"/>
      <c r="K62" s="5">
        <v>300.60000000000002</v>
      </c>
      <c r="L62" s="6"/>
      <c r="M62" s="5"/>
      <c r="N62" s="6"/>
      <c r="O62" s="5"/>
      <c r="P62" s="6"/>
      <c r="Q62" s="5"/>
      <c r="R62" s="5"/>
      <c r="S62" s="6"/>
      <c r="T62" s="5"/>
      <c r="U62" s="6"/>
      <c r="V62" s="5"/>
      <c r="W62" s="6"/>
      <c r="X62" s="5"/>
      <c r="Y62" s="11"/>
      <c r="Z62" s="10"/>
      <c r="AA62" s="11"/>
      <c r="AB62" s="10"/>
      <c r="AC62" s="11"/>
      <c r="AD62" s="10"/>
      <c r="AE62" s="11"/>
      <c r="AF62" s="10">
        <v>300.60000000000002</v>
      </c>
      <c r="AG62" s="11"/>
      <c r="AH62" s="10"/>
      <c r="AI62" s="11"/>
      <c r="AJ62" s="10"/>
      <c r="AK62" s="11"/>
      <c r="AL62" s="10"/>
      <c r="AM62" s="11"/>
      <c r="AN62" s="10"/>
      <c r="AO62" s="11"/>
      <c r="AP62" s="10"/>
      <c r="AQ62" s="11"/>
      <c r="AR62" s="10"/>
      <c r="AS62" s="11"/>
      <c r="AT62" s="10"/>
      <c r="AU62" s="33"/>
      <c r="AV62" s="34"/>
      <c r="AW62" s="64"/>
      <c r="AX62" s="64"/>
      <c r="AY62" s="64"/>
      <c r="AZ62" s="64"/>
      <c r="BA62" s="64">
        <v>480.6</v>
      </c>
      <c r="BB62" s="64"/>
      <c r="BC62" s="64"/>
      <c r="BD62" s="64"/>
      <c r="BE62" s="64"/>
      <c r="BF62" s="64"/>
      <c r="BG62" s="64"/>
      <c r="BH62" s="64"/>
      <c r="BI62" s="8"/>
      <c r="BJ62" s="8">
        <f t="shared" si="4"/>
        <v>601.20000000000005</v>
      </c>
      <c r="BK62" s="8"/>
      <c r="BL62" s="4" t="s">
        <v>82</v>
      </c>
      <c r="BM62" s="58" t="s">
        <v>313</v>
      </c>
      <c r="BN62" t="s">
        <v>335</v>
      </c>
    </row>
    <row r="63" spans="1:66" ht="15">
      <c r="A63" s="2">
        <f t="shared" si="0"/>
        <v>61</v>
      </c>
      <c r="B63" s="4" t="s">
        <v>83</v>
      </c>
      <c r="C63" s="34"/>
      <c r="D63" s="33"/>
      <c r="E63" s="34"/>
      <c r="F63" s="33"/>
      <c r="G63" s="34"/>
      <c r="H63" s="33"/>
      <c r="I63" s="34"/>
      <c r="J63" s="33"/>
      <c r="K63" s="34"/>
      <c r="L63" s="33"/>
      <c r="M63" s="34"/>
      <c r="N63" s="33"/>
      <c r="O63" s="34"/>
      <c r="P63" s="33"/>
      <c r="Q63" s="34"/>
      <c r="R63" s="34"/>
      <c r="S63" s="33"/>
      <c r="T63" s="34"/>
      <c r="U63" s="33"/>
      <c r="V63" s="34"/>
      <c r="W63" s="33"/>
      <c r="X63" s="34"/>
      <c r="Y63" s="33"/>
      <c r="Z63" s="34"/>
      <c r="AA63" s="33"/>
      <c r="AB63" s="34"/>
      <c r="AC63" s="33"/>
      <c r="AD63" s="34"/>
      <c r="AE63" s="33"/>
      <c r="AF63" s="34"/>
      <c r="AG63" s="33"/>
      <c r="AH63" s="34"/>
      <c r="AI63" s="33"/>
      <c r="AJ63" s="34"/>
      <c r="AK63" s="33"/>
      <c r="AL63" s="34"/>
      <c r="AM63" s="33"/>
      <c r="AN63" s="34"/>
      <c r="AO63" s="33"/>
      <c r="AP63" s="34">
        <v>660.61</v>
      </c>
      <c r="AQ63" s="33"/>
      <c r="AR63" s="34"/>
      <c r="AS63" s="33"/>
      <c r="AT63" s="34"/>
      <c r="AU63" s="33"/>
      <c r="AV63" s="34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>
        <f t="shared" si="4"/>
        <v>660.61</v>
      </c>
      <c r="BK63" s="8"/>
      <c r="BL63" s="4" t="s">
        <v>83</v>
      </c>
      <c r="BM63" s="58" t="s">
        <v>313</v>
      </c>
      <c r="BN63" t="s">
        <v>335</v>
      </c>
    </row>
    <row r="64" spans="1:66" ht="15">
      <c r="A64" s="2">
        <f t="shared" si="0"/>
        <v>62</v>
      </c>
      <c r="B64" s="4" t="s">
        <v>84</v>
      </c>
      <c r="C64" s="5"/>
      <c r="D64" s="6"/>
      <c r="E64" s="5"/>
      <c r="F64" s="6"/>
      <c r="G64" s="5"/>
      <c r="H64" s="6"/>
      <c r="I64" s="5"/>
      <c r="J64" s="6"/>
      <c r="K64" s="5"/>
      <c r="L64" s="6"/>
      <c r="M64" s="5"/>
      <c r="N64" s="6"/>
      <c r="O64" s="5"/>
      <c r="P64" s="6"/>
      <c r="Q64" s="5"/>
      <c r="R64" s="5"/>
      <c r="S64" s="6"/>
      <c r="T64" s="5"/>
      <c r="U64" s="6"/>
      <c r="V64" s="5"/>
      <c r="W64" s="6"/>
      <c r="X64" s="5"/>
      <c r="Y64" s="11"/>
      <c r="Z64" s="10"/>
      <c r="AA64" s="11"/>
      <c r="AB64" s="10"/>
      <c r="AC64" s="11"/>
      <c r="AD64" s="10">
        <v>300.62</v>
      </c>
      <c r="AE64" s="11"/>
      <c r="AF64" s="10"/>
      <c r="AG64" s="11"/>
      <c r="AH64" s="10"/>
      <c r="AI64" s="11"/>
      <c r="AJ64" s="10"/>
      <c r="AK64" s="11"/>
      <c r="AL64" s="10"/>
      <c r="AM64" s="11"/>
      <c r="AN64" s="10"/>
      <c r="AO64" s="11"/>
      <c r="AP64" s="10"/>
      <c r="AQ64" s="11"/>
      <c r="AR64" s="10"/>
      <c r="AS64" s="11"/>
      <c r="AT64" s="10"/>
      <c r="AU64" s="11"/>
      <c r="AV64" s="10"/>
      <c r="AW64" s="33">
        <v>480.62</v>
      </c>
      <c r="AX64" s="33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>
        <f t="shared" si="4"/>
        <v>781.24</v>
      </c>
      <c r="BK64" s="8"/>
      <c r="BL64" s="4" t="s">
        <v>84</v>
      </c>
      <c r="BM64" s="59" t="s">
        <v>314</v>
      </c>
      <c r="BN64" t="s">
        <v>303</v>
      </c>
    </row>
    <row r="65" spans="1:66" ht="15">
      <c r="A65" s="2">
        <f t="shared" si="0"/>
        <v>63</v>
      </c>
      <c r="B65" s="4" t="s">
        <v>85</v>
      </c>
      <c r="C65" s="5"/>
      <c r="D65" s="6"/>
      <c r="E65" s="5"/>
      <c r="F65" s="6"/>
      <c r="G65" s="5"/>
      <c r="H65" s="6"/>
      <c r="I65" s="5"/>
      <c r="J65" s="6"/>
      <c r="K65" s="5"/>
      <c r="L65" s="6"/>
      <c r="M65" s="5"/>
      <c r="N65" s="11"/>
      <c r="O65" s="10"/>
      <c r="P65" s="11"/>
      <c r="Q65" s="10"/>
      <c r="R65" s="10">
        <v>75.63</v>
      </c>
      <c r="S65" s="8"/>
      <c r="T65" s="9"/>
      <c r="U65" s="8"/>
      <c r="V65" s="9"/>
      <c r="W65" s="8"/>
      <c r="X65" s="9"/>
      <c r="Y65" s="8"/>
      <c r="Z65" s="9"/>
      <c r="AA65" s="8"/>
      <c r="AB65" s="9"/>
      <c r="AC65" s="8"/>
      <c r="AD65" s="10"/>
      <c r="AE65" s="11"/>
      <c r="AF65" s="10"/>
      <c r="AG65" s="11"/>
      <c r="AH65" s="10">
        <v>75.63</v>
      </c>
      <c r="AI65" s="33"/>
      <c r="AJ65" s="34"/>
      <c r="AK65" s="33"/>
      <c r="AL65" s="34"/>
      <c r="AM65" s="33"/>
      <c r="AN65" s="34">
        <v>75.63</v>
      </c>
      <c r="AO65" s="32" t="s">
        <v>222</v>
      </c>
      <c r="AP65" s="34">
        <v>40.630000000000003</v>
      </c>
      <c r="AQ65" s="33"/>
      <c r="AR65" s="34"/>
      <c r="AS65" s="33"/>
      <c r="AT65" s="34"/>
      <c r="AU65" s="33"/>
      <c r="AV65" s="34">
        <v>120.63</v>
      </c>
      <c r="AW65" s="64"/>
      <c r="AX65" s="64">
        <v>80.63</v>
      </c>
      <c r="AY65" s="64"/>
      <c r="AZ65" s="64">
        <v>80.63</v>
      </c>
      <c r="BA65" s="8"/>
      <c r="BB65" s="8"/>
      <c r="BC65" s="8"/>
      <c r="BD65" s="8"/>
      <c r="BE65" s="8"/>
      <c r="BF65" s="8"/>
      <c r="BG65" s="8"/>
      <c r="BH65" s="8"/>
      <c r="BI65" s="8"/>
      <c r="BJ65" s="8">
        <f t="shared" si="4"/>
        <v>468.78</v>
      </c>
      <c r="BK65" s="8"/>
      <c r="BL65" s="4" t="s">
        <v>85</v>
      </c>
      <c r="BM65" s="58" t="s">
        <v>313</v>
      </c>
      <c r="BN65" t="s">
        <v>317</v>
      </c>
    </row>
    <row r="66" spans="1:66" ht="15">
      <c r="A66" s="2">
        <f t="shared" si="0"/>
        <v>64</v>
      </c>
      <c r="B66" s="4" t="s">
        <v>86</v>
      </c>
      <c r="C66" s="5"/>
      <c r="D66" s="6"/>
      <c r="E66" s="5"/>
      <c r="F66" s="6"/>
      <c r="G66" s="5">
        <v>300.64</v>
      </c>
      <c r="H66" s="6"/>
      <c r="I66" s="5"/>
      <c r="J66" s="6"/>
      <c r="K66" s="5"/>
      <c r="L66" s="6"/>
      <c r="M66" s="5"/>
      <c r="N66" s="6"/>
      <c r="O66" s="5"/>
      <c r="P66" s="6"/>
      <c r="Q66" s="5"/>
      <c r="R66" s="5"/>
      <c r="S66" s="6"/>
      <c r="T66" s="5"/>
      <c r="U66" s="6"/>
      <c r="V66" s="5"/>
      <c r="W66" s="6"/>
      <c r="X66" s="5"/>
      <c r="Y66" s="11"/>
      <c r="Z66" s="10"/>
      <c r="AA66" s="11"/>
      <c r="AB66" s="10"/>
      <c r="AC66" s="11"/>
      <c r="AD66" s="10">
        <v>150.63999999999999</v>
      </c>
      <c r="AE66" s="11"/>
      <c r="AF66" s="10"/>
      <c r="AG66" s="11"/>
      <c r="AH66" s="10"/>
      <c r="AI66" s="11"/>
      <c r="AJ66" s="10"/>
      <c r="AK66" s="33"/>
      <c r="AL66" s="34"/>
      <c r="AM66" s="33"/>
      <c r="AN66" s="34">
        <v>240.64</v>
      </c>
      <c r="AO66" s="33"/>
      <c r="AP66" s="34"/>
      <c r="AQ66" s="33"/>
      <c r="AR66" s="34"/>
      <c r="AS66" s="33"/>
      <c r="AT66" s="34"/>
      <c r="AU66" s="33"/>
      <c r="AV66" s="34"/>
      <c r="AW66" s="56" t="s">
        <v>221</v>
      </c>
      <c r="AX66" s="56">
        <v>240.64</v>
      </c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8">
        <f t="shared" si="4"/>
        <v>932.56</v>
      </c>
      <c r="BK66" s="8"/>
      <c r="BL66" s="4" t="s">
        <v>86</v>
      </c>
      <c r="BM66" s="59" t="s">
        <v>314</v>
      </c>
      <c r="BN66" t="s">
        <v>318</v>
      </c>
    </row>
    <row r="67" spans="1:66" ht="15">
      <c r="A67" s="2">
        <f t="shared" si="0"/>
        <v>65</v>
      </c>
      <c r="B67" s="4" t="s">
        <v>87</v>
      </c>
      <c r="C67" s="5"/>
      <c r="D67" s="6"/>
      <c r="E67" s="5"/>
      <c r="F67" s="6"/>
      <c r="G67" s="5"/>
      <c r="H67" s="6"/>
      <c r="I67" s="5"/>
      <c r="J67" s="6"/>
      <c r="K67" s="5"/>
      <c r="L67" s="6"/>
      <c r="M67" s="5"/>
      <c r="N67" s="6"/>
      <c r="O67" s="5"/>
      <c r="P67" s="6"/>
      <c r="Q67" s="5"/>
      <c r="R67" s="5"/>
      <c r="S67" s="6"/>
      <c r="T67" s="5"/>
      <c r="U67" s="6"/>
      <c r="V67" s="5"/>
      <c r="W67" s="6"/>
      <c r="X67" s="5"/>
      <c r="Y67" s="6"/>
      <c r="Z67" s="5">
        <v>300.64999999999998</v>
      </c>
      <c r="AA67" s="6">
        <v>100.65</v>
      </c>
      <c r="AB67" s="5"/>
      <c r="AC67" s="6"/>
      <c r="AD67" s="5"/>
      <c r="AE67" s="6"/>
      <c r="AF67" s="5"/>
      <c r="AG67" s="6"/>
      <c r="AH67" s="5"/>
      <c r="AI67" s="6"/>
      <c r="AJ67" s="5"/>
      <c r="AK67" s="6"/>
      <c r="AL67" s="5"/>
      <c r="AM67" s="6"/>
      <c r="AN67" s="5"/>
      <c r="AO67" s="6"/>
      <c r="AP67" s="5"/>
      <c r="AQ67" s="6"/>
      <c r="AR67" s="5"/>
      <c r="AS67" s="6"/>
      <c r="AT67" s="5"/>
      <c r="AU67" s="6"/>
      <c r="AV67" s="5"/>
      <c r="AW67" s="63">
        <v>480.65</v>
      </c>
      <c r="AX67" s="33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>
        <f t="shared" si="4"/>
        <v>881.94999999999993</v>
      </c>
      <c r="BK67" s="8"/>
      <c r="BL67" s="4" t="s">
        <v>87</v>
      </c>
      <c r="BM67" s="59" t="s">
        <v>314</v>
      </c>
      <c r="BN67" t="s">
        <v>303</v>
      </c>
    </row>
    <row r="68" spans="1:66" ht="15">
      <c r="A68" s="2">
        <f t="shared" si="0"/>
        <v>66</v>
      </c>
      <c r="B68" s="4" t="s">
        <v>88</v>
      </c>
      <c r="C68" s="5"/>
      <c r="D68" s="6"/>
      <c r="E68" s="5"/>
      <c r="F68" s="6"/>
      <c r="G68" s="5"/>
      <c r="H68" s="6"/>
      <c r="I68" s="5"/>
      <c r="J68" s="6"/>
      <c r="K68" s="5"/>
      <c r="L68" s="6"/>
      <c r="M68" s="5"/>
      <c r="N68" s="6"/>
      <c r="O68" s="5"/>
      <c r="P68" s="6"/>
      <c r="Q68" s="5"/>
      <c r="R68" s="5"/>
      <c r="S68" s="6"/>
      <c r="T68" s="5"/>
      <c r="U68" s="6"/>
      <c r="V68" s="5"/>
      <c r="W68" s="6"/>
      <c r="X68" s="5"/>
      <c r="Y68" s="6"/>
      <c r="Z68" s="5"/>
      <c r="AA68" s="6"/>
      <c r="AB68" s="5"/>
      <c r="AC68" s="6"/>
      <c r="AD68" s="5"/>
      <c r="AE68" s="6"/>
      <c r="AF68" s="5"/>
      <c r="AG68" s="6"/>
      <c r="AH68" s="5"/>
      <c r="AI68" s="6"/>
      <c r="AJ68" s="5"/>
      <c r="AK68" s="33"/>
      <c r="AL68" s="34"/>
      <c r="AM68" s="33"/>
      <c r="AN68" s="34"/>
      <c r="AO68" s="33"/>
      <c r="AP68" s="34"/>
      <c r="AQ68" s="33"/>
      <c r="AR68" s="34">
        <v>210</v>
      </c>
      <c r="AS68" s="33"/>
      <c r="AT68" s="34"/>
      <c r="AU68" s="33"/>
      <c r="AV68" s="34"/>
      <c r="AW68" s="64"/>
      <c r="AX68" s="64"/>
      <c r="AY68" s="64">
        <v>160.66</v>
      </c>
      <c r="AZ68" s="64"/>
      <c r="BA68" s="8"/>
      <c r="BB68" s="8"/>
      <c r="BC68" s="8"/>
      <c r="BD68" s="8"/>
      <c r="BE68" s="8"/>
      <c r="BF68" s="8"/>
      <c r="BG68" s="8"/>
      <c r="BH68" s="8"/>
      <c r="BI68" s="8"/>
      <c r="BJ68" s="8">
        <f t="shared" si="4"/>
        <v>210</v>
      </c>
      <c r="BK68" s="8"/>
      <c r="BL68" s="4" t="s">
        <v>88</v>
      </c>
      <c r="BM68" s="58" t="s">
        <v>313</v>
      </c>
      <c r="BN68" t="s">
        <v>335</v>
      </c>
    </row>
    <row r="69" spans="1:66" ht="15.75" customHeight="1">
      <c r="A69" s="2">
        <f t="shared" si="0"/>
        <v>67</v>
      </c>
      <c r="B69" s="4" t="s">
        <v>89</v>
      </c>
      <c r="C69" s="5"/>
      <c r="D69" s="6"/>
      <c r="E69" s="5"/>
      <c r="F69" s="6"/>
      <c r="G69" s="5"/>
      <c r="H69" s="6"/>
      <c r="I69" s="5"/>
      <c r="J69" s="6"/>
      <c r="K69" s="5"/>
      <c r="L69" s="6"/>
      <c r="M69" s="5"/>
      <c r="N69" s="8" t="s">
        <v>90</v>
      </c>
      <c r="O69" s="9">
        <v>150.66999999999999</v>
      </c>
      <c r="P69" s="8"/>
      <c r="Q69" s="9"/>
      <c r="R69" s="9"/>
      <c r="S69" s="8"/>
      <c r="T69" s="9"/>
      <c r="U69" s="8"/>
      <c r="V69" s="9"/>
      <c r="W69" s="8"/>
      <c r="X69" s="9"/>
      <c r="Y69" s="8"/>
      <c r="Z69" s="5"/>
      <c r="AA69" s="6"/>
      <c r="AB69" s="5">
        <v>150.66999999999999</v>
      </c>
      <c r="AC69" s="6"/>
      <c r="AD69" s="5"/>
      <c r="AE69" s="6"/>
      <c r="AF69" s="5"/>
      <c r="AG69" s="6"/>
      <c r="AH69" s="5"/>
      <c r="AI69" s="6"/>
      <c r="AJ69" s="5"/>
      <c r="AK69" s="33"/>
      <c r="AL69" s="34"/>
      <c r="AM69" s="33"/>
      <c r="AN69" s="34"/>
      <c r="AO69" s="33"/>
      <c r="AP69" s="34">
        <v>210.67</v>
      </c>
      <c r="AQ69" s="33"/>
      <c r="AR69" s="34"/>
      <c r="AS69" s="33"/>
      <c r="AT69" s="34"/>
      <c r="AU69" s="33"/>
      <c r="AV69" s="34"/>
      <c r="AW69" s="33" t="s">
        <v>266</v>
      </c>
      <c r="AX69" s="33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>
        <f t="shared" si="4"/>
        <v>512.01</v>
      </c>
      <c r="BK69" s="8"/>
      <c r="BL69" s="4" t="s">
        <v>89</v>
      </c>
      <c r="BM69" s="59" t="s">
        <v>314</v>
      </c>
      <c r="BN69" t="s">
        <v>319</v>
      </c>
    </row>
    <row r="70" spans="1:66" ht="15">
      <c r="A70" s="2">
        <f t="shared" si="0"/>
        <v>68</v>
      </c>
      <c r="B70" s="4" t="s">
        <v>91</v>
      </c>
      <c r="C70" s="5"/>
      <c r="D70" s="6"/>
      <c r="E70" s="5"/>
      <c r="F70" s="6"/>
      <c r="G70" s="5"/>
      <c r="H70" s="6"/>
      <c r="I70" s="5"/>
      <c r="J70" s="6"/>
      <c r="K70" s="5"/>
      <c r="L70" s="6"/>
      <c r="M70" s="5"/>
      <c r="N70" s="8"/>
      <c r="O70" s="9"/>
      <c r="P70" s="8"/>
      <c r="Q70" s="9"/>
      <c r="R70" s="9"/>
      <c r="S70" s="8"/>
      <c r="T70" s="9"/>
      <c r="U70" s="8"/>
      <c r="V70" s="9"/>
      <c r="W70" s="8"/>
      <c r="X70" s="9"/>
      <c r="Y70" s="8"/>
      <c r="Z70" s="9"/>
      <c r="AA70" s="8"/>
      <c r="AB70" s="9"/>
      <c r="AC70" s="8"/>
      <c r="AD70" s="9"/>
      <c r="AE70" s="8"/>
      <c r="AF70" s="9"/>
      <c r="AG70" s="8"/>
      <c r="AH70" s="9"/>
      <c r="AI70" s="8"/>
      <c r="AJ70" s="9"/>
      <c r="AK70" s="8"/>
      <c r="AL70" s="9"/>
      <c r="AM70" s="8"/>
      <c r="AN70" s="9"/>
      <c r="AO70" s="8"/>
      <c r="AP70" s="9"/>
      <c r="AQ70" s="8"/>
      <c r="AR70" s="9"/>
      <c r="AS70" s="8"/>
      <c r="AT70" s="9"/>
      <c r="AU70" s="8"/>
      <c r="AV70" s="9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>
        <f t="shared" si="4"/>
        <v>0</v>
      </c>
      <c r="BK70" s="8"/>
      <c r="BL70" s="4" t="s">
        <v>91</v>
      </c>
      <c r="BM70" s="58" t="s">
        <v>313</v>
      </c>
      <c r="BN70" t="s">
        <v>320</v>
      </c>
    </row>
    <row r="71" spans="1:66" ht="15">
      <c r="A71" s="2">
        <f t="shared" si="0"/>
        <v>69</v>
      </c>
      <c r="B71" s="4" t="s">
        <v>92</v>
      </c>
      <c r="C71" s="5">
        <v>150</v>
      </c>
      <c r="D71" s="6"/>
      <c r="E71" s="5"/>
      <c r="F71" s="6"/>
      <c r="G71" s="5"/>
      <c r="H71" s="6"/>
      <c r="I71" s="5">
        <v>250</v>
      </c>
      <c r="J71" s="6"/>
      <c r="K71" s="5"/>
      <c r="L71" s="6"/>
      <c r="M71" s="5"/>
      <c r="N71" s="6"/>
      <c r="O71" s="5"/>
      <c r="P71" s="6"/>
      <c r="Q71" s="5"/>
      <c r="R71" s="5">
        <v>150.69</v>
      </c>
      <c r="S71" s="6"/>
      <c r="T71" s="5"/>
      <c r="U71" s="6"/>
      <c r="V71" s="5"/>
      <c r="W71" s="6"/>
      <c r="X71" s="5"/>
      <c r="Y71" s="11"/>
      <c r="Z71" s="10"/>
      <c r="AA71" s="11"/>
      <c r="AB71" s="10"/>
      <c r="AC71" s="11"/>
      <c r="AD71" s="10">
        <v>250</v>
      </c>
      <c r="AE71" s="11">
        <v>0.69</v>
      </c>
      <c r="AF71" s="10"/>
      <c r="AG71" s="11"/>
      <c r="AH71" s="10"/>
      <c r="AI71" s="11"/>
      <c r="AJ71" s="10"/>
      <c r="AK71" s="11"/>
      <c r="AL71" s="10"/>
      <c r="AM71" s="11"/>
      <c r="AN71" s="10"/>
      <c r="AO71" s="11"/>
      <c r="AP71" s="10" t="s">
        <v>93</v>
      </c>
      <c r="AQ71" s="11"/>
      <c r="AR71" s="10" t="s">
        <v>94</v>
      </c>
      <c r="AS71" s="33"/>
      <c r="AT71" s="34"/>
      <c r="AU71" s="33"/>
      <c r="AV71" s="34"/>
      <c r="AW71" s="33"/>
      <c r="AX71" s="33">
        <v>350.69</v>
      </c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>
        <f t="shared" si="4"/>
        <v>1152.0700000000002</v>
      </c>
      <c r="BK71" s="8"/>
      <c r="BL71" s="4" t="s">
        <v>92</v>
      </c>
      <c r="BM71" s="59" t="s">
        <v>314</v>
      </c>
      <c r="BN71" t="s">
        <v>319</v>
      </c>
    </row>
    <row r="72" spans="1:66" ht="15">
      <c r="A72" s="2">
        <f t="shared" si="0"/>
        <v>70</v>
      </c>
      <c r="B72" s="4" t="s">
        <v>95</v>
      </c>
      <c r="C72" s="5"/>
      <c r="D72" s="6"/>
      <c r="E72" s="5"/>
      <c r="F72" s="6"/>
      <c r="G72" s="5"/>
      <c r="H72" s="6"/>
      <c r="I72" s="5"/>
      <c r="J72" s="6"/>
      <c r="K72" s="5"/>
      <c r="L72" s="6"/>
      <c r="M72" s="5"/>
      <c r="N72" s="6"/>
      <c r="O72" s="5"/>
      <c r="P72" s="6"/>
      <c r="Q72" s="5"/>
      <c r="R72" s="5"/>
      <c r="S72" s="6"/>
      <c r="T72" s="5"/>
      <c r="U72" s="6"/>
      <c r="V72" s="5"/>
      <c r="W72" s="6"/>
      <c r="X72" s="5"/>
      <c r="Y72" s="6"/>
      <c r="Z72" s="5"/>
      <c r="AA72" s="6"/>
      <c r="AB72" s="5"/>
      <c r="AC72" s="6"/>
      <c r="AD72" s="5"/>
      <c r="AE72" s="6"/>
      <c r="AF72" s="5"/>
      <c r="AG72" s="6"/>
      <c r="AH72" s="5"/>
      <c r="AI72" s="6"/>
      <c r="AJ72" s="5"/>
      <c r="AK72" s="6"/>
      <c r="AL72" s="5"/>
      <c r="AM72" s="6"/>
      <c r="AN72" s="5"/>
      <c r="AO72" s="6"/>
      <c r="AP72" s="5"/>
      <c r="AQ72" s="6"/>
      <c r="AR72" s="5"/>
      <c r="AS72" s="6"/>
      <c r="AT72" s="5"/>
      <c r="AU72" s="6"/>
      <c r="AV72" s="5"/>
      <c r="AW72" s="64"/>
      <c r="AX72" s="64"/>
      <c r="AY72" s="64">
        <v>245.7</v>
      </c>
      <c r="AZ72" s="64"/>
      <c r="BA72" s="64"/>
      <c r="BB72" s="64"/>
      <c r="BC72" s="8" t="s">
        <v>399</v>
      </c>
      <c r="BD72" s="8"/>
      <c r="BE72" s="8"/>
      <c r="BF72" s="8"/>
      <c r="BG72" s="8"/>
      <c r="BH72" s="8"/>
      <c r="BI72" s="8"/>
      <c r="BJ72" s="8">
        <f t="shared" si="4"/>
        <v>0</v>
      </c>
      <c r="BK72" s="8"/>
      <c r="BL72" s="4" t="s">
        <v>95</v>
      </c>
      <c r="BM72" s="58" t="s">
        <v>313</v>
      </c>
      <c r="BN72" t="s">
        <v>335</v>
      </c>
    </row>
    <row r="73" spans="1:66" ht="15">
      <c r="A73" s="2">
        <f>ROW(A71)</f>
        <v>71</v>
      </c>
      <c r="B73" s="4" t="s">
        <v>96</v>
      </c>
      <c r="C73" s="5"/>
      <c r="D73" s="6"/>
      <c r="E73" s="5"/>
      <c r="F73" s="6"/>
      <c r="G73" s="5"/>
      <c r="H73" s="6"/>
      <c r="I73" s="5"/>
      <c r="J73" s="6"/>
      <c r="K73" s="5"/>
      <c r="L73" s="6"/>
      <c r="M73" s="5"/>
      <c r="N73" s="6"/>
      <c r="O73" s="5"/>
      <c r="P73" s="6"/>
      <c r="Q73" s="5"/>
      <c r="R73" s="5"/>
      <c r="S73" s="6"/>
      <c r="T73" s="5"/>
      <c r="U73" s="6"/>
      <c r="V73" s="5"/>
      <c r="W73" s="6"/>
      <c r="X73" s="5"/>
      <c r="Y73" s="6"/>
      <c r="Z73" s="5"/>
      <c r="AA73" s="6"/>
      <c r="AB73" s="5"/>
      <c r="AC73" s="6"/>
      <c r="AD73" s="5"/>
      <c r="AE73" s="6"/>
      <c r="AF73" s="5"/>
      <c r="AG73" s="6"/>
      <c r="AH73" s="5"/>
      <c r="AI73" s="6"/>
      <c r="AJ73" s="5"/>
      <c r="AK73" s="6"/>
      <c r="AL73" s="5"/>
      <c r="AM73" s="6"/>
      <c r="AN73" s="5"/>
      <c r="AO73" s="6"/>
      <c r="AP73" s="5"/>
      <c r="AQ73" s="6"/>
      <c r="AR73" s="5"/>
      <c r="AS73" s="6"/>
      <c r="AT73" s="5"/>
      <c r="AU73" s="6"/>
      <c r="AV73" s="5"/>
      <c r="AW73" s="33"/>
      <c r="AX73" s="33">
        <v>120</v>
      </c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>
        <f t="shared" si="4"/>
        <v>120</v>
      </c>
      <c r="BK73" s="8"/>
      <c r="BL73" s="4" t="s">
        <v>96</v>
      </c>
      <c r="BM73" s="59" t="s">
        <v>314</v>
      </c>
      <c r="BN73" t="s">
        <v>310</v>
      </c>
    </row>
    <row r="74" spans="1:66" ht="15">
      <c r="A74" s="2">
        <f t="shared" si="0"/>
        <v>72</v>
      </c>
      <c r="B74" s="4" t="s">
        <v>97</v>
      </c>
      <c r="C74" s="5"/>
      <c r="D74" s="6"/>
      <c r="E74" s="5"/>
      <c r="F74" s="6"/>
      <c r="G74" s="5"/>
      <c r="H74" s="6"/>
      <c r="I74" s="5"/>
      <c r="J74" s="6"/>
      <c r="K74" s="5"/>
      <c r="L74" s="6"/>
      <c r="M74" s="5"/>
      <c r="N74" s="6"/>
      <c r="O74" s="5"/>
      <c r="P74" s="6"/>
      <c r="Q74" s="5"/>
      <c r="R74" s="5"/>
      <c r="S74" s="6"/>
      <c r="T74" s="5"/>
      <c r="U74" s="6"/>
      <c r="V74" s="5"/>
      <c r="W74" s="6"/>
      <c r="X74" s="5"/>
      <c r="Y74" s="6"/>
      <c r="Z74" s="5"/>
      <c r="AA74" s="6"/>
      <c r="AB74" s="5"/>
      <c r="AC74" s="6"/>
      <c r="AD74" s="5"/>
      <c r="AE74" s="6"/>
      <c r="AF74" s="5"/>
      <c r="AG74" s="6"/>
      <c r="AH74" s="5"/>
      <c r="AI74" s="6"/>
      <c r="AJ74" s="5"/>
      <c r="AK74" s="11"/>
      <c r="AL74" s="10">
        <v>210.72</v>
      </c>
      <c r="AM74" s="11"/>
      <c r="AN74" s="10"/>
      <c r="AO74" s="11"/>
      <c r="AP74" s="10"/>
      <c r="AQ74" s="11"/>
      <c r="AR74" s="10"/>
      <c r="AS74" s="11"/>
      <c r="AT74" s="10"/>
      <c r="AU74" s="11"/>
      <c r="AV74" s="10"/>
      <c r="AW74" s="64"/>
      <c r="AX74" s="64">
        <v>240.72</v>
      </c>
      <c r="AY74" s="64"/>
      <c r="AZ74" s="64"/>
      <c r="BA74" s="64"/>
      <c r="BB74" s="64"/>
      <c r="BC74" s="8"/>
      <c r="BD74" s="8"/>
      <c r="BE74" s="8"/>
      <c r="BF74" s="8"/>
      <c r="BG74" s="8"/>
      <c r="BH74" s="8"/>
      <c r="BI74" s="8"/>
      <c r="BJ74" s="8">
        <f t="shared" si="4"/>
        <v>451.44</v>
      </c>
      <c r="BK74" s="8"/>
      <c r="BL74" s="4" t="s">
        <v>97</v>
      </c>
      <c r="BM74" s="58" t="s">
        <v>313</v>
      </c>
      <c r="BN74" t="s">
        <v>335</v>
      </c>
    </row>
    <row r="75" spans="1:66" ht="15">
      <c r="A75" s="2">
        <f t="shared" si="0"/>
        <v>73</v>
      </c>
      <c r="B75" s="4" t="s">
        <v>98</v>
      </c>
      <c r="C75" s="5"/>
      <c r="D75" s="6"/>
      <c r="E75" s="5"/>
      <c r="F75" s="6"/>
      <c r="G75" s="5"/>
      <c r="H75" s="6"/>
      <c r="I75" s="5"/>
      <c r="J75" s="6"/>
      <c r="K75" s="5">
        <v>25.73</v>
      </c>
      <c r="L75" s="6"/>
      <c r="M75" s="5">
        <v>25.73</v>
      </c>
      <c r="N75" s="6"/>
      <c r="O75" s="5">
        <v>25.73</v>
      </c>
      <c r="P75" s="6"/>
      <c r="Q75" s="5">
        <v>25.73</v>
      </c>
      <c r="R75" s="5">
        <v>25.73</v>
      </c>
      <c r="S75" s="6"/>
      <c r="T75" s="5">
        <v>25.73</v>
      </c>
      <c r="U75" s="6"/>
      <c r="V75" s="5">
        <v>25.73</v>
      </c>
      <c r="W75" s="6"/>
      <c r="X75" s="5">
        <v>25.73</v>
      </c>
      <c r="Y75" s="6">
        <v>25.73</v>
      </c>
      <c r="Z75" s="7"/>
      <c r="AA75" s="17"/>
      <c r="AB75" s="5">
        <v>25.73</v>
      </c>
      <c r="AC75" s="6"/>
      <c r="AD75" s="5">
        <v>25.73</v>
      </c>
      <c r="AE75" s="11"/>
      <c r="AF75" s="10">
        <v>25.73</v>
      </c>
      <c r="AG75" s="11"/>
      <c r="AH75" s="10">
        <v>25.73</v>
      </c>
      <c r="AI75" s="11"/>
      <c r="AJ75" s="10">
        <v>25.73</v>
      </c>
      <c r="AK75" s="11"/>
      <c r="AL75" s="10">
        <v>25.73</v>
      </c>
      <c r="AM75" s="33"/>
      <c r="AN75" s="34">
        <v>25.73</v>
      </c>
      <c r="AO75" s="33"/>
      <c r="AP75" s="34">
        <v>25.73</v>
      </c>
      <c r="AQ75" s="33"/>
      <c r="AR75" s="34">
        <v>25.73</v>
      </c>
      <c r="AS75" s="33"/>
      <c r="AT75" s="34">
        <v>25.73</v>
      </c>
      <c r="AU75" s="33"/>
      <c r="AV75" s="34">
        <v>25.73</v>
      </c>
      <c r="AW75" s="33">
        <v>25.73</v>
      </c>
      <c r="AX75" s="33" t="s">
        <v>276</v>
      </c>
      <c r="AY75" s="8">
        <v>25.73</v>
      </c>
      <c r="AZ75" s="8">
        <v>40.729999999999997</v>
      </c>
      <c r="BA75" s="8">
        <v>40.729999999999997</v>
      </c>
      <c r="BB75" s="8"/>
      <c r="BC75" s="8"/>
      <c r="BD75" s="8"/>
      <c r="BE75" s="8"/>
      <c r="BF75" s="8"/>
      <c r="BG75" s="8"/>
      <c r="BH75" s="8"/>
      <c r="BI75" s="8"/>
      <c r="BJ75" s="8">
        <f>SUM(C75:BA75)</f>
        <v>647.52000000000021</v>
      </c>
      <c r="BK75" s="8"/>
      <c r="BL75" s="4" t="s">
        <v>98</v>
      </c>
      <c r="BM75" s="59" t="s">
        <v>314</v>
      </c>
      <c r="BN75" t="s">
        <v>321</v>
      </c>
    </row>
    <row r="76" spans="1:66" ht="15">
      <c r="A76" s="2">
        <f t="shared" si="0"/>
        <v>74</v>
      </c>
      <c r="B76" s="4" t="s">
        <v>99</v>
      </c>
      <c r="C76" s="5">
        <v>300.74</v>
      </c>
      <c r="D76" s="6"/>
      <c r="E76" s="5"/>
      <c r="F76" s="6"/>
      <c r="G76" s="5"/>
      <c r="H76" s="6"/>
      <c r="I76" s="5"/>
      <c r="J76" s="6"/>
      <c r="K76" s="5"/>
      <c r="L76" s="6"/>
      <c r="M76" s="5"/>
      <c r="N76" s="6"/>
      <c r="O76" s="7"/>
      <c r="P76" s="6"/>
      <c r="Q76" s="5"/>
      <c r="R76" s="5"/>
      <c r="S76" s="6"/>
      <c r="T76" s="5"/>
      <c r="U76" s="6"/>
      <c r="V76" s="5"/>
      <c r="W76" s="6"/>
      <c r="X76" s="5"/>
      <c r="Y76" s="6"/>
      <c r="Z76" s="5">
        <v>150.74</v>
      </c>
      <c r="AA76" s="6"/>
      <c r="AB76" s="5"/>
      <c r="AC76" s="6"/>
      <c r="AD76" s="5"/>
      <c r="AE76" s="6"/>
      <c r="AF76" s="5"/>
      <c r="AG76" s="6"/>
      <c r="AH76" s="5"/>
      <c r="AI76" s="6"/>
      <c r="AJ76" s="5"/>
      <c r="AK76" s="11"/>
      <c r="AL76" s="10">
        <v>210.74</v>
      </c>
      <c r="AM76" s="11"/>
      <c r="AN76" s="10"/>
      <c r="AO76" s="11"/>
      <c r="AP76" s="10"/>
      <c r="AQ76" s="11"/>
      <c r="AR76" s="10"/>
      <c r="AS76" s="11"/>
      <c r="AT76" s="10"/>
      <c r="AU76" s="11"/>
      <c r="AV76" s="10"/>
      <c r="AW76" s="33">
        <v>240</v>
      </c>
      <c r="AX76" s="33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>
        <f>SUM(C76:AX76)</f>
        <v>902.22</v>
      </c>
      <c r="BK76" s="8"/>
      <c r="BL76" s="4" t="s">
        <v>99</v>
      </c>
      <c r="BM76" s="59" t="s">
        <v>314</v>
      </c>
      <c r="BN76" t="s">
        <v>319</v>
      </c>
    </row>
    <row r="77" spans="1:66" ht="15">
      <c r="A77" s="2">
        <f t="shared" si="0"/>
        <v>75</v>
      </c>
      <c r="B77" s="4" t="s">
        <v>100</v>
      </c>
      <c r="C77" s="5"/>
      <c r="D77" s="6"/>
      <c r="E77" s="5"/>
      <c r="F77" s="6"/>
      <c r="G77" s="5"/>
      <c r="H77" s="6"/>
      <c r="I77" s="5"/>
      <c r="J77" s="6"/>
      <c r="K77" s="5"/>
      <c r="L77" s="6"/>
      <c r="M77" s="5"/>
      <c r="N77" s="6"/>
      <c r="O77" s="5"/>
      <c r="P77" s="6"/>
      <c r="Q77" s="5"/>
      <c r="R77" s="5">
        <v>150.75</v>
      </c>
      <c r="S77" s="6"/>
      <c r="T77" s="5"/>
      <c r="U77" s="6"/>
      <c r="V77" s="5"/>
      <c r="W77" s="6"/>
      <c r="X77" s="5"/>
      <c r="Y77" s="6"/>
      <c r="Z77" s="5">
        <v>150.75</v>
      </c>
      <c r="AA77" s="6"/>
      <c r="AB77" s="5"/>
      <c r="AC77" s="6"/>
      <c r="AD77" s="5"/>
      <c r="AE77" s="6"/>
      <c r="AF77" s="5"/>
      <c r="AG77" s="6"/>
      <c r="AH77" s="5"/>
      <c r="AI77" s="6"/>
      <c r="AJ77" s="5"/>
      <c r="AK77" s="64"/>
      <c r="AL77" s="75"/>
      <c r="AM77" s="64"/>
      <c r="AN77" s="75"/>
      <c r="AO77" s="64"/>
      <c r="AP77" s="75"/>
      <c r="AQ77" s="64"/>
      <c r="AR77" s="75"/>
      <c r="AS77" s="64"/>
      <c r="AT77" s="75"/>
      <c r="AU77" s="64"/>
      <c r="AV77" s="75"/>
      <c r="AW77" s="64"/>
      <c r="AX77" s="64"/>
      <c r="AY77" s="64">
        <v>290.75</v>
      </c>
      <c r="AZ77" s="64"/>
      <c r="BA77" s="64">
        <v>400.75</v>
      </c>
      <c r="BB77" s="64"/>
      <c r="BC77" s="64"/>
      <c r="BD77" s="64"/>
      <c r="BE77" s="64"/>
      <c r="BF77" s="64"/>
      <c r="BG77" s="64"/>
      <c r="BH77" s="64"/>
      <c r="BI77" s="64"/>
      <c r="BJ77" s="8">
        <f>SUM(C77:AX77)</f>
        <v>301.5</v>
      </c>
      <c r="BK77" s="8"/>
      <c r="BL77" s="4" t="s">
        <v>100</v>
      </c>
      <c r="BM77" s="58" t="s">
        <v>313</v>
      </c>
      <c r="BN77" t="s">
        <v>307</v>
      </c>
    </row>
    <row r="78" spans="1:66" ht="15">
      <c r="A78" s="2">
        <f t="shared" si="0"/>
        <v>76</v>
      </c>
      <c r="B78" s="4" t="s">
        <v>101</v>
      </c>
      <c r="C78" s="5"/>
      <c r="D78" s="6"/>
      <c r="E78" s="5"/>
      <c r="F78" s="6"/>
      <c r="G78" s="5"/>
      <c r="H78" s="6"/>
      <c r="I78" s="5"/>
      <c r="J78" s="6"/>
      <c r="K78" s="5"/>
      <c r="L78" s="6"/>
      <c r="M78" s="5">
        <v>300.76</v>
      </c>
      <c r="N78" s="6"/>
      <c r="O78" s="5"/>
      <c r="P78" s="6"/>
      <c r="Q78" s="5"/>
      <c r="R78" s="5"/>
      <c r="S78" s="6"/>
      <c r="T78" s="5"/>
      <c r="U78" s="6"/>
      <c r="V78" s="5"/>
      <c r="W78" s="6"/>
      <c r="X78" s="5"/>
      <c r="Y78" s="11"/>
      <c r="Z78" s="10"/>
      <c r="AA78" s="11"/>
      <c r="AB78" s="10"/>
      <c r="AC78" s="11"/>
      <c r="AD78" s="10"/>
      <c r="AE78" s="11"/>
      <c r="AF78" s="10">
        <v>300.76</v>
      </c>
      <c r="AG78" s="18">
        <v>45768</v>
      </c>
      <c r="AH78" s="10"/>
      <c r="AI78" s="11"/>
      <c r="AJ78" s="10"/>
      <c r="AK78" s="11"/>
      <c r="AL78" s="10"/>
      <c r="AM78" s="11"/>
      <c r="AN78" s="10"/>
      <c r="AO78" s="11"/>
      <c r="AP78" s="10"/>
      <c r="AQ78" s="11"/>
      <c r="AR78" s="10"/>
      <c r="AS78" s="11"/>
      <c r="AT78" s="10"/>
      <c r="AU78" s="33"/>
      <c r="AV78" s="34">
        <v>60.76</v>
      </c>
      <c r="AW78" s="64"/>
      <c r="AX78" s="64"/>
      <c r="AY78" s="64">
        <v>240.76</v>
      </c>
      <c r="AZ78" s="64"/>
      <c r="BA78" s="64"/>
      <c r="BB78" s="64"/>
      <c r="BC78" s="8"/>
      <c r="BD78" s="8"/>
      <c r="BE78" s="8"/>
      <c r="BF78" s="8"/>
      <c r="BG78" s="8"/>
      <c r="BH78" s="8"/>
      <c r="BI78" s="8"/>
      <c r="BJ78" s="8">
        <v>601.52</v>
      </c>
      <c r="BK78" s="8"/>
      <c r="BL78" s="4" t="s">
        <v>101</v>
      </c>
      <c r="BM78" s="58" t="s">
        <v>313</v>
      </c>
      <c r="BN78" s="8" t="s">
        <v>335</v>
      </c>
    </row>
    <row r="79" spans="1:66" ht="15">
      <c r="A79" s="2">
        <f t="shared" si="0"/>
        <v>77</v>
      </c>
      <c r="B79" s="4" t="s">
        <v>102</v>
      </c>
      <c r="C79" s="5">
        <v>40.770000000000003</v>
      </c>
      <c r="D79" s="6">
        <v>10.77</v>
      </c>
      <c r="E79" s="5"/>
      <c r="F79" s="6"/>
      <c r="G79" s="5">
        <v>100.77</v>
      </c>
      <c r="H79" s="6"/>
      <c r="I79" s="5"/>
      <c r="J79" s="8"/>
      <c r="K79" s="9"/>
      <c r="L79" s="8"/>
      <c r="M79" s="9"/>
      <c r="N79" s="8"/>
      <c r="O79" s="9"/>
      <c r="P79" s="8"/>
      <c r="Q79" s="9"/>
      <c r="R79" s="9"/>
      <c r="S79" s="8"/>
      <c r="T79" s="9"/>
      <c r="U79" s="8"/>
      <c r="V79" s="9"/>
      <c r="W79" s="8"/>
      <c r="X79" s="10"/>
      <c r="Y79" s="11"/>
      <c r="Z79" s="10"/>
      <c r="AA79" s="11"/>
      <c r="AB79" s="10"/>
      <c r="AC79" s="11"/>
      <c r="AD79" s="10"/>
      <c r="AE79" s="11"/>
      <c r="AF79" s="10"/>
      <c r="AG79" s="11"/>
      <c r="AH79" s="10">
        <v>150.77000000000001</v>
      </c>
      <c r="AI79" s="8"/>
      <c r="AJ79" s="9"/>
      <c r="AK79" s="8"/>
      <c r="AL79" s="9"/>
      <c r="AM79" s="8"/>
      <c r="AN79" s="9"/>
      <c r="AO79" s="8"/>
      <c r="AP79" s="9"/>
      <c r="AQ79" s="8"/>
      <c r="AR79" s="9"/>
      <c r="AS79" s="8"/>
      <c r="AT79" s="9"/>
      <c r="AU79" s="8"/>
      <c r="AV79" s="9"/>
      <c r="AW79" s="8"/>
      <c r="AX79" s="8">
        <v>40.770000000000003</v>
      </c>
      <c r="AY79" s="8">
        <v>40.770000000000003</v>
      </c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>
        <f t="shared" ref="BJ79:BJ138" si="5">SUM(C79:AX79)</f>
        <v>343.85</v>
      </c>
      <c r="BK79" s="8"/>
      <c r="BL79" s="4" t="s">
        <v>102</v>
      </c>
      <c r="BM79" s="58" t="s">
        <v>313</v>
      </c>
      <c r="BN79" t="s">
        <v>322</v>
      </c>
    </row>
    <row r="80" spans="1:66" ht="15">
      <c r="A80" s="2">
        <f t="shared" si="0"/>
        <v>78</v>
      </c>
      <c r="B80" s="4" t="s">
        <v>103</v>
      </c>
      <c r="C80" s="5"/>
      <c r="D80" s="6"/>
      <c r="E80" s="5"/>
      <c r="F80" s="6"/>
      <c r="G80" s="5"/>
      <c r="H80" s="6"/>
      <c r="I80" s="5"/>
      <c r="J80" s="6"/>
      <c r="K80" s="5"/>
      <c r="L80" s="6"/>
      <c r="M80" s="5"/>
      <c r="N80" s="6"/>
      <c r="O80" s="5">
        <v>158.78</v>
      </c>
      <c r="P80" s="6"/>
      <c r="Q80" s="5"/>
      <c r="R80" s="5"/>
      <c r="S80" s="6"/>
      <c r="T80" s="5"/>
      <c r="U80" s="11"/>
      <c r="V80" s="10"/>
      <c r="W80" s="11"/>
      <c r="X80" s="10"/>
      <c r="Y80" s="11"/>
      <c r="Z80" s="10">
        <v>158.78</v>
      </c>
      <c r="AA80" s="11"/>
      <c r="AB80" s="10"/>
      <c r="AC80" s="11"/>
      <c r="AD80" s="10"/>
      <c r="AE80" s="11"/>
      <c r="AF80" s="10"/>
      <c r="AG80" s="11"/>
      <c r="AH80" s="10"/>
      <c r="AI80" s="11"/>
      <c r="AJ80" s="10"/>
      <c r="AK80" s="11"/>
      <c r="AL80" s="10">
        <v>150.78</v>
      </c>
      <c r="AM80" s="11"/>
      <c r="AN80" s="10"/>
      <c r="AO80" s="11"/>
      <c r="AP80" s="10"/>
      <c r="AQ80" s="11"/>
      <c r="AR80" s="75" t="s">
        <v>256</v>
      </c>
      <c r="AS80" s="64"/>
      <c r="AT80" s="75"/>
      <c r="AU80" s="64"/>
      <c r="AV80" s="75"/>
      <c r="AW80" s="64">
        <v>240.78</v>
      </c>
      <c r="AX80" s="64"/>
      <c r="AY80" s="64"/>
      <c r="AZ80" s="8" t="s">
        <v>256</v>
      </c>
      <c r="BA80" s="8"/>
      <c r="BB80" s="8"/>
      <c r="BC80" s="8"/>
      <c r="BD80" s="8"/>
      <c r="BE80" s="8"/>
      <c r="BF80" s="8"/>
      <c r="BG80" s="8"/>
      <c r="BH80" s="8"/>
      <c r="BI80" s="8"/>
      <c r="BJ80" s="8">
        <f t="shared" si="5"/>
        <v>709.12</v>
      </c>
      <c r="BK80" s="8"/>
      <c r="BL80" s="4" t="s">
        <v>103</v>
      </c>
      <c r="BM80" s="59" t="s">
        <v>314</v>
      </c>
      <c r="BN80" t="s">
        <v>323</v>
      </c>
    </row>
    <row r="81" spans="1:66" ht="15">
      <c r="A81" s="2">
        <f t="shared" si="0"/>
        <v>79</v>
      </c>
      <c r="B81" s="4" t="s">
        <v>104</v>
      </c>
      <c r="C81" s="5"/>
      <c r="D81" s="6"/>
      <c r="E81" s="5"/>
      <c r="F81" s="6"/>
      <c r="G81" s="5"/>
      <c r="H81" s="6"/>
      <c r="I81" s="5"/>
      <c r="J81" s="6"/>
      <c r="K81" s="5"/>
      <c r="L81" s="6"/>
      <c r="M81" s="5"/>
      <c r="N81" s="6"/>
      <c r="O81" s="5"/>
      <c r="P81" s="6"/>
      <c r="Q81" s="5"/>
      <c r="R81" s="5"/>
      <c r="S81" s="6"/>
      <c r="T81" s="5"/>
      <c r="U81" s="6"/>
      <c r="V81" s="5"/>
      <c r="W81" s="6"/>
      <c r="X81" s="5">
        <v>360.79</v>
      </c>
      <c r="Y81" s="33"/>
      <c r="Z81" s="34"/>
      <c r="AA81" s="33"/>
      <c r="AB81" s="34"/>
      <c r="AC81" s="33"/>
      <c r="AD81" s="34"/>
      <c r="AE81" s="33"/>
      <c r="AF81" s="34"/>
      <c r="AG81" s="33"/>
      <c r="AH81" s="34"/>
      <c r="AI81" s="33"/>
      <c r="AJ81" s="34"/>
      <c r="AK81" s="33"/>
      <c r="AL81" s="34"/>
      <c r="AM81" s="33"/>
      <c r="AN81" s="34"/>
      <c r="AO81" s="33"/>
      <c r="AP81" s="34"/>
      <c r="AQ81" s="33"/>
      <c r="AR81" s="34"/>
      <c r="AS81" s="33"/>
      <c r="AT81" s="34"/>
      <c r="AU81" s="33"/>
      <c r="AV81" s="34"/>
      <c r="AW81" s="33" t="s">
        <v>324</v>
      </c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>
        <f t="shared" si="5"/>
        <v>360.79</v>
      </c>
      <c r="BK81" s="8"/>
      <c r="BL81" s="4" t="s">
        <v>104</v>
      </c>
      <c r="BM81" s="59" t="s">
        <v>314</v>
      </c>
      <c r="BN81" t="s">
        <v>325</v>
      </c>
    </row>
    <row r="82" spans="1:66" ht="15">
      <c r="A82" s="2">
        <f t="shared" si="0"/>
        <v>80</v>
      </c>
      <c r="B82" s="4" t="s">
        <v>105</v>
      </c>
      <c r="C82" s="5"/>
      <c r="D82" s="6"/>
      <c r="E82" s="5"/>
      <c r="F82" s="6"/>
      <c r="G82" s="5"/>
      <c r="H82" s="6"/>
      <c r="I82" s="5">
        <v>300.8</v>
      </c>
      <c r="J82" s="6"/>
      <c r="K82" s="5"/>
      <c r="L82" s="6"/>
      <c r="M82" s="5"/>
      <c r="N82" s="6"/>
      <c r="O82" s="5"/>
      <c r="P82" s="6"/>
      <c r="Q82" s="5"/>
      <c r="R82" s="5"/>
      <c r="S82" s="6"/>
      <c r="T82" s="5"/>
      <c r="U82" s="6"/>
      <c r="V82" s="5"/>
      <c r="W82" s="6"/>
      <c r="X82" s="5"/>
      <c r="Y82" s="6"/>
      <c r="Z82" s="5"/>
      <c r="AA82" s="6"/>
      <c r="AB82" s="5"/>
      <c r="AC82" s="6"/>
      <c r="AD82" s="5">
        <v>300.8</v>
      </c>
      <c r="AE82" s="6"/>
      <c r="AF82" s="5"/>
      <c r="AG82" s="6"/>
      <c r="AH82" s="5"/>
      <c r="AI82" s="6"/>
      <c r="AJ82" s="5"/>
      <c r="AK82" s="6"/>
      <c r="AL82" s="5"/>
      <c r="AM82" s="6"/>
      <c r="AN82" s="5"/>
      <c r="AO82" s="6"/>
      <c r="AP82" s="5"/>
      <c r="AQ82" s="6"/>
      <c r="AR82" s="5"/>
      <c r="AS82" s="6"/>
      <c r="AT82" s="5"/>
      <c r="AU82" s="6"/>
      <c r="AV82" s="5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>
        <f t="shared" si="5"/>
        <v>601.6</v>
      </c>
      <c r="BK82" s="8"/>
      <c r="BL82" s="4" t="s">
        <v>105</v>
      </c>
      <c r="BM82" s="58" t="s">
        <v>313</v>
      </c>
      <c r="BN82" t="s">
        <v>298</v>
      </c>
    </row>
    <row r="83" spans="1:66" ht="15">
      <c r="A83" s="2">
        <f t="shared" si="0"/>
        <v>81</v>
      </c>
      <c r="B83" s="4" t="s">
        <v>106</v>
      </c>
      <c r="C83" s="5">
        <v>25.81</v>
      </c>
      <c r="D83" s="6"/>
      <c r="E83" s="5">
        <v>25.81</v>
      </c>
      <c r="F83" s="6"/>
      <c r="G83" s="5"/>
      <c r="H83" s="6"/>
      <c r="I83" s="5">
        <v>25.81</v>
      </c>
      <c r="J83" s="6"/>
      <c r="K83" s="5"/>
      <c r="L83" s="6"/>
      <c r="M83" s="5">
        <v>75.81</v>
      </c>
      <c r="N83" s="6"/>
      <c r="O83" s="5">
        <v>25.81</v>
      </c>
      <c r="P83" s="6"/>
      <c r="Q83" s="5"/>
      <c r="R83" s="5">
        <v>50.81</v>
      </c>
      <c r="S83" s="6"/>
      <c r="T83" s="5">
        <v>25.81</v>
      </c>
      <c r="U83" s="6"/>
      <c r="V83" s="5">
        <v>25.81</v>
      </c>
      <c r="W83" s="6"/>
      <c r="X83" s="5"/>
      <c r="Y83" s="6"/>
      <c r="Z83" s="5"/>
      <c r="AA83" s="6"/>
      <c r="AB83" s="5">
        <v>50.81</v>
      </c>
      <c r="AC83" s="6"/>
      <c r="AD83" s="5">
        <v>50.81</v>
      </c>
      <c r="AE83" s="6"/>
      <c r="AF83" s="5"/>
      <c r="AG83" s="11"/>
      <c r="AH83" s="10">
        <v>50.81</v>
      </c>
      <c r="AI83" s="11"/>
      <c r="AJ83" s="10"/>
      <c r="AK83" s="33"/>
      <c r="AL83" s="34"/>
      <c r="AM83" s="33"/>
      <c r="AN83" s="34">
        <v>50.81</v>
      </c>
      <c r="AO83" s="64"/>
      <c r="AP83" s="75"/>
      <c r="AQ83" s="64"/>
      <c r="AR83" s="75"/>
      <c r="AS83" s="64"/>
      <c r="AT83" s="75"/>
      <c r="AU83" s="64"/>
      <c r="AV83" s="75"/>
      <c r="AW83" s="64"/>
      <c r="AX83" s="64"/>
      <c r="AY83" s="64"/>
      <c r="AZ83" s="64">
        <v>320.81</v>
      </c>
      <c r="BA83" s="8"/>
      <c r="BB83" s="8"/>
      <c r="BC83" s="8"/>
      <c r="BD83" s="8"/>
      <c r="BE83" s="8"/>
      <c r="BF83" s="8"/>
      <c r="BG83" s="8"/>
      <c r="BH83" s="8"/>
      <c r="BI83" s="8"/>
      <c r="BJ83" s="8">
        <f t="shared" si="5"/>
        <v>484.72</v>
      </c>
      <c r="BK83" s="8"/>
      <c r="BL83" s="4" t="s">
        <v>106</v>
      </c>
      <c r="BM83" s="58" t="s">
        <v>313</v>
      </c>
      <c r="BN83" t="s">
        <v>326</v>
      </c>
    </row>
    <row r="84" spans="1:66" ht="15">
      <c r="A84" s="2">
        <f t="shared" si="0"/>
        <v>82</v>
      </c>
      <c r="B84" s="4" t="s">
        <v>107</v>
      </c>
      <c r="C84" s="5">
        <v>150.82</v>
      </c>
      <c r="D84" s="6"/>
      <c r="E84" s="5"/>
      <c r="F84" s="6"/>
      <c r="G84" s="5"/>
      <c r="H84" s="6"/>
      <c r="I84" s="5"/>
      <c r="J84" s="6"/>
      <c r="K84" s="5"/>
      <c r="L84" s="6"/>
      <c r="M84" s="5">
        <v>150.82</v>
      </c>
      <c r="N84" s="6"/>
      <c r="O84" s="5"/>
      <c r="P84" s="6"/>
      <c r="Q84" s="5"/>
      <c r="R84" s="5"/>
      <c r="S84" s="6"/>
      <c r="T84" s="5"/>
      <c r="U84" s="6"/>
      <c r="V84" s="5"/>
      <c r="W84" s="6"/>
      <c r="X84" s="5">
        <v>150.82</v>
      </c>
      <c r="Y84" s="6"/>
      <c r="Z84" s="5"/>
      <c r="AA84" s="6"/>
      <c r="AB84" s="5"/>
      <c r="AC84" s="6"/>
      <c r="AD84" s="5"/>
      <c r="AE84" s="6"/>
      <c r="AF84" s="5"/>
      <c r="AG84" s="6"/>
      <c r="AH84" s="5"/>
      <c r="AI84" s="6"/>
      <c r="AJ84" s="5"/>
      <c r="AK84" s="33"/>
      <c r="AL84" s="34"/>
      <c r="AM84" s="33"/>
      <c r="AN84" s="34"/>
      <c r="AO84" s="33"/>
      <c r="AP84" s="34"/>
      <c r="AQ84" s="33"/>
      <c r="AR84" s="34"/>
      <c r="AS84" s="33"/>
      <c r="AT84" s="34"/>
      <c r="AU84" s="33"/>
      <c r="AV84" s="34"/>
      <c r="AW84" s="64">
        <v>210.82</v>
      </c>
      <c r="AX84" s="64"/>
      <c r="AY84" s="64"/>
      <c r="AZ84" s="64"/>
      <c r="BA84" s="64"/>
      <c r="BB84" s="64"/>
      <c r="BC84" s="64"/>
      <c r="BD84" s="8">
        <v>280.82</v>
      </c>
      <c r="BE84" s="8"/>
      <c r="BF84" s="8"/>
      <c r="BG84" s="8"/>
      <c r="BH84" s="8"/>
      <c r="BI84" s="8"/>
      <c r="BJ84" s="8">
        <f t="shared" si="5"/>
        <v>663.28</v>
      </c>
      <c r="BK84" s="8"/>
      <c r="BL84" s="4" t="s">
        <v>107</v>
      </c>
      <c r="BM84" s="58" t="s">
        <v>313</v>
      </c>
      <c r="BN84" t="s">
        <v>298</v>
      </c>
    </row>
    <row r="85" spans="1:66" ht="15">
      <c r="A85" s="2">
        <f t="shared" si="0"/>
        <v>83</v>
      </c>
      <c r="B85" s="4" t="s">
        <v>108</v>
      </c>
      <c r="C85" s="5"/>
      <c r="D85" s="6"/>
      <c r="E85" s="5"/>
      <c r="F85" s="6"/>
      <c r="G85" s="5"/>
      <c r="H85" s="6"/>
      <c r="I85" s="5"/>
      <c r="J85" s="6"/>
      <c r="K85" s="5"/>
      <c r="L85" s="6"/>
      <c r="M85" s="5"/>
      <c r="N85" s="6"/>
      <c r="O85" s="5"/>
      <c r="P85" s="6"/>
      <c r="Q85" s="5">
        <v>100.83</v>
      </c>
      <c r="R85" s="5"/>
      <c r="S85" s="6"/>
      <c r="T85" s="5">
        <v>100.83</v>
      </c>
      <c r="U85" s="6"/>
      <c r="V85" s="5"/>
      <c r="W85" s="6"/>
      <c r="X85" s="5"/>
      <c r="Y85" s="6"/>
      <c r="Z85" s="5"/>
      <c r="AA85" s="6"/>
      <c r="AB85" s="5">
        <v>150.83000000000001</v>
      </c>
      <c r="AC85" s="6"/>
      <c r="AD85" s="5"/>
      <c r="AE85" s="6"/>
      <c r="AF85" s="5"/>
      <c r="AG85" s="6"/>
      <c r="AH85" s="5"/>
      <c r="AI85" s="6"/>
      <c r="AJ85" s="5"/>
      <c r="AK85" s="33"/>
      <c r="AL85" s="34"/>
      <c r="AM85" s="33"/>
      <c r="AN85" s="34">
        <v>240.83</v>
      </c>
      <c r="AO85" s="33"/>
      <c r="AP85" s="34"/>
      <c r="AQ85" s="33"/>
      <c r="AR85" s="34"/>
      <c r="AS85" s="33"/>
      <c r="AT85" s="34"/>
      <c r="AU85" s="33"/>
      <c r="AV85" s="34"/>
      <c r="AW85" s="32" t="s">
        <v>221</v>
      </c>
      <c r="AX85" s="32">
        <v>240.83</v>
      </c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8">
        <f t="shared" si="5"/>
        <v>834.15000000000009</v>
      </c>
      <c r="BK85" s="8"/>
      <c r="BL85" s="4" t="s">
        <v>108</v>
      </c>
      <c r="BM85" s="58" t="s">
        <v>313</v>
      </c>
      <c r="BN85" t="s">
        <v>327</v>
      </c>
    </row>
    <row r="86" spans="1:66" ht="15">
      <c r="A86" s="2">
        <f t="shared" si="0"/>
        <v>84</v>
      </c>
      <c r="B86" s="4" t="s">
        <v>109</v>
      </c>
      <c r="C86" s="5"/>
      <c r="D86" s="6"/>
      <c r="E86" s="5"/>
      <c r="F86" s="6"/>
      <c r="G86" s="5"/>
      <c r="H86" s="6"/>
      <c r="I86" s="5"/>
      <c r="J86" s="6"/>
      <c r="K86" s="5"/>
      <c r="L86" s="6"/>
      <c r="M86" s="5"/>
      <c r="N86" s="6"/>
      <c r="O86" s="5"/>
      <c r="P86" s="6"/>
      <c r="Q86" s="5">
        <v>150.84</v>
      </c>
      <c r="R86" s="5"/>
      <c r="S86" s="6"/>
      <c r="T86" s="5"/>
      <c r="U86" s="6"/>
      <c r="V86" s="5"/>
      <c r="W86" s="6"/>
      <c r="X86" s="5"/>
      <c r="Y86" s="6"/>
      <c r="Z86" s="5"/>
      <c r="AA86" s="6"/>
      <c r="AB86" s="5">
        <v>150.84</v>
      </c>
      <c r="AC86" s="6"/>
      <c r="AD86" s="5"/>
      <c r="AE86" s="6"/>
      <c r="AF86" s="5"/>
      <c r="AG86" s="6"/>
      <c r="AH86" s="5"/>
      <c r="AI86" s="6"/>
      <c r="AJ86" s="5"/>
      <c r="AK86" s="33"/>
      <c r="AL86" s="34"/>
      <c r="AM86" s="33"/>
      <c r="AN86" s="34"/>
      <c r="AO86" s="33"/>
      <c r="AP86" s="34">
        <v>225.84</v>
      </c>
      <c r="AQ86" s="33"/>
      <c r="AR86" s="34"/>
      <c r="AS86" s="33"/>
      <c r="AT86" s="34"/>
      <c r="AU86" s="33"/>
      <c r="AV86" s="34"/>
      <c r="AW86" s="33" t="s">
        <v>236</v>
      </c>
      <c r="AX86" s="33">
        <v>225.84</v>
      </c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>
        <f t="shared" si="5"/>
        <v>753.36</v>
      </c>
      <c r="BK86" s="8"/>
      <c r="BL86" s="4" t="s">
        <v>109</v>
      </c>
      <c r="BM86" s="59" t="s">
        <v>314</v>
      </c>
      <c r="BN86" t="s">
        <v>328</v>
      </c>
    </row>
    <row r="87" spans="1:66" ht="15">
      <c r="A87" s="2">
        <f t="shared" si="0"/>
        <v>85</v>
      </c>
      <c r="B87" s="4" t="s">
        <v>110</v>
      </c>
      <c r="C87" s="5"/>
      <c r="D87" s="6"/>
      <c r="E87" s="5"/>
      <c r="F87" s="6"/>
      <c r="G87" s="5"/>
      <c r="H87" s="6"/>
      <c r="I87" s="5"/>
      <c r="J87" s="6"/>
      <c r="K87" s="5">
        <v>75.849999999999994</v>
      </c>
      <c r="L87" s="6"/>
      <c r="M87" s="5"/>
      <c r="N87" s="6"/>
      <c r="O87" s="5">
        <v>75.849999999999994</v>
      </c>
      <c r="P87" s="6"/>
      <c r="Q87" s="5"/>
      <c r="R87" s="5"/>
      <c r="S87" s="8"/>
      <c r="T87" s="9">
        <v>75.849999999999994</v>
      </c>
      <c r="U87" s="8"/>
      <c r="V87" s="9"/>
      <c r="W87" s="8"/>
      <c r="X87" s="9"/>
      <c r="Y87" s="6"/>
      <c r="Z87" s="5">
        <v>75.849999999999994</v>
      </c>
      <c r="AA87" s="6"/>
      <c r="AB87" s="5"/>
      <c r="AC87" s="6"/>
      <c r="AD87" s="5"/>
      <c r="AE87" s="11"/>
      <c r="AF87" s="10">
        <v>75.849999999999994</v>
      </c>
      <c r="AG87" s="11"/>
      <c r="AH87" s="10"/>
      <c r="AI87" s="11"/>
      <c r="AJ87" s="10"/>
      <c r="AK87" s="11"/>
      <c r="AL87" s="10">
        <v>75.849999999999994</v>
      </c>
      <c r="AM87" s="11"/>
      <c r="AN87" s="10"/>
      <c r="AO87" s="11"/>
      <c r="AP87" s="34" t="s">
        <v>254</v>
      </c>
      <c r="AQ87" s="33"/>
      <c r="AR87" s="34">
        <v>75.849999999999994</v>
      </c>
      <c r="AS87" s="33" t="s">
        <v>240</v>
      </c>
      <c r="AT87" s="34" t="s">
        <v>239</v>
      </c>
      <c r="AU87" s="33"/>
      <c r="AV87" s="34"/>
      <c r="AW87" s="64">
        <v>75.849999999999994</v>
      </c>
      <c r="AX87" s="64"/>
      <c r="AY87" s="64">
        <v>122.85</v>
      </c>
      <c r="AZ87" s="64"/>
      <c r="BA87" s="64">
        <v>75.849999999999994</v>
      </c>
      <c r="BB87" s="64" t="s">
        <v>404</v>
      </c>
      <c r="BC87" s="64">
        <v>75.849999999999994</v>
      </c>
      <c r="BD87" s="8" t="s">
        <v>405</v>
      </c>
      <c r="BE87" s="8"/>
      <c r="BF87" s="8"/>
      <c r="BG87" s="8"/>
      <c r="BH87" s="8"/>
      <c r="BI87" s="8"/>
      <c r="BJ87" s="8">
        <f t="shared" si="5"/>
        <v>606.80000000000007</v>
      </c>
      <c r="BK87" s="8"/>
      <c r="BL87" s="4" t="s">
        <v>110</v>
      </c>
      <c r="BM87" s="59" t="s">
        <v>314</v>
      </c>
      <c r="BN87" t="s">
        <v>338</v>
      </c>
    </row>
    <row r="88" spans="1:66" ht="15">
      <c r="A88" s="2">
        <f t="shared" si="0"/>
        <v>86</v>
      </c>
      <c r="B88" s="4" t="s">
        <v>111</v>
      </c>
      <c r="C88" s="5"/>
      <c r="D88" s="6"/>
      <c r="E88" s="5"/>
      <c r="F88" s="6"/>
      <c r="G88" s="5"/>
      <c r="H88" s="6"/>
      <c r="I88" s="5"/>
      <c r="J88" s="6"/>
      <c r="K88" s="5"/>
      <c r="L88" s="6"/>
      <c r="M88" s="5">
        <v>50.86</v>
      </c>
      <c r="N88" s="6"/>
      <c r="O88" s="5"/>
      <c r="P88" s="6"/>
      <c r="Q88" s="5"/>
      <c r="R88" s="5">
        <v>200.86</v>
      </c>
      <c r="S88" s="6"/>
      <c r="T88" s="5"/>
      <c r="U88" s="6"/>
      <c r="V88" s="5"/>
      <c r="W88" s="6"/>
      <c r="X88" s="5"/>
      <c r="Y88" s="8"/>
      <c r="Z88" s="9"/>
      <c r="AA88" s="8"/>
      <c r="AB88" s="9"/>
      <c r="AC88" s="8"/>
      <c r="AD88" s="9"/>
      <c r="AE88" s="8"/>
      <c r="AF88" s="9"/>
      <c r="AG88" s="8"/>
      <c r="AH88" s="9"/>
      <c r="AI88" s="8"/>
      <c r="AJ88" s="10">
        <v>25.86</v>
      </c>
      <c r="AK88" s="11"/>
      <c r="AL88" s="10">
        <v>25.86</v>
      </c>
      <c r="AM88" s="33"/>
      <c r="AN88" s="34">
        <v>25.86</v>
      </c>
      <c r="AO88" s="33"/>
      <c r="AP88" s="35"/>
      <c r="AQ88" s="33"/>
      <c r="AR88" s="34">
        <v>80.459999999999994</v>
      </c>
      <c r="AS88" s="33" t="s">
        <v>253</v>
      </c>
      <c r="AT88" s="34" t="s">
        <v>79</v>
      </c>
      <c r="AU88" s="33"/>
      <c r="AV88" s="34">
        <v>80.86</v>
      </c>
      <c r="AW88" s="64">
        <v>40.86</v>
      </c>
      <c r="AX88" s="64">
        <v>40.86</v>
      </c>
      <c r="AY88" s="64">
        <v>40.86</v>
      </c>
      <c r="AZ88" s="64">
        <v>40.86</v>
      </c>
      <c r="BA88" s="64">
        <v>40.86</v>
      </c>
      <c r="BB88" s="8"/>
      <c r="BC88" s="8"/>
      <c r="BD88" s="8"/>
      <c r="BE88" s="8"/>
      <c r="BF88" s="8"/>
      <c r="BG88" s="8"/>
      <c r="BH88" s="8"/>
      <c r="BI88" s="8"/>
      <c r="BJ88" s="8">
        <f>SUM(C88:BA88)</f>
        <v>694.92000000000007</v>
      </c>
      <c r="BK88" s="8"/>
      <c r="BL88" s="4" t="s">
        <v>111</v>
      </c>
      <c r="BM88" s="59" t="s">
        <v>314</v>
      </c>
      <c r="BN88" t="s">
        <v>329</v>
      </c>
    </row>
    <row r="89" spans="1:66" ht="15">
      <c r="A89" s="2">
        <f t="shared" si="0"/>
        <v>87</v>
      </c>
      <c r="B89" s="4" t="s">
        <v>112</v>
      </c>
      <c r="C89" s="9"/>
      <c r="D89" s="8"/>
      <c r="E89" s="9"/>
      <c r="F89" s="8"/>
      <c r="G89" s="9"/>
      <c r="H89" s="8"/>
      <c r="I89" s="9"/>
      <c r="J89" s="8"/>
      <c r="K89" s="9"/>
      <c r="L89" s="8"/>
      <c r="M89" s="9"/>
      <c r="N89" s="8"/>
      <c r="O89" s="9"/>
      <c r="P89" s="8"/>
      <c r="Q89" s="9"/>
      <c r="R89" s="9"/>
      <c r="S89" s="8"/>
      <c r="T89" s="9"/>
      <c r="U89" s="8"/>
      <c r="V89" s="9"/>
      <c r="W89" s="8"/>
      <c r="X89" s="9"/>
      <c r="Y89" s="8"/>
      <c r="Z89" s="9"/>
      <c r="AA89" s="8"/>
      <c r="AB89" s="9"/>
      <c r="AC89" s="8"/>
      <c r="AD89" s="9"/>
      <c r="AE89" s="8"/>
      <c r="AF89" s="9"/>
      <c r="AG89" s="8"/>
      <c r="AH89" s="9"/>
      <c r="AI89" s="8"/>
      <c r="AJ89" s="9"/>
      <c r="AK89" s="8"/>
      <c r="AL89" s="9"/>
      <c r="AM89" s="8"/>
      <c r="AN89" s="9"/>
      <c r="AO89" s="8"/>
      <c r="AP89" s="9"/>
      <c r="AQ89" s="8"/>
      <c r="AR89" s="9"/>
      <c r="AS89" s="8"/>
      <c r="AT89" s="9"/>
      <c r="AU89" s="8"/>
      <c r="AV89" s="9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>
        <f t="shared" si="5"/>
        <v>0</v>
      </c>
      <c r="BK89" s="8"/>
      <c r="BL89" s="4" t="s">
        <v>112</v>
      </c>
      <c r="BM89" s="58" t="s">
        <v>313</v>
      </c>
      <c r="BN89" t="s">
        <v>330</v>
      </c>
    </row>
    <row r="90" spans="1:66" ht="15">
      <c r="A90" s="2">
        <f t="shared" si="0"/>
        <v>88</v>
      </c>
      <c r="B90" s="4" t="s">
        <v>218</v>
      </c>
      <c r="C90" s="5"/>
      <c r="D90" s="6"/>
      <c r="E90" s="5"/>
      <c r="F90" s="6"/>
      <c r="G90" s="5"/>
      <c r="H90" s="6"/>
      <c r="I90" s="9" t="s">
        <v>113</v>
      </c>
      <c r="J90" s="8"/>
      <c r="K90" s="9"/>
      <c r="L90" s="8"/>
      <c r="M90" s="9"/>
      <c r="N90" s="8"/>
      <c r="O90" s="9"/>
      <c r="P90" s="8"/>
      <c r="Q90" s="9"/>
      <c r="R90" s="9"/>
      <c r="S90" s="8"/>
      <c r="T90" s="9"/>
      <c r="U90" s="8"/>
      <c r="V90" s="9"/>
      <c r="W90" s="8"/>
      <c r="X90" s="9"/>
      <c r="Y90" s="8"/>
      <c r="Z90" s="9"/>
      <c r="AA90" s="8"/>
      <c r="AB90" s="9"/>
      <c r="AC90" s="8"/>
      <c r="AD90" s="9"/>
      <c r="AE90" s="8"/>
      <c r="AF90" s="9"/>
      <c r="AG90" s="8"/>
      <c r="AH90" s="9"/>
      <c r="AI90" s="8"/>
      <c r="AJ90" s="9"/>
      <c r="AK90" s="8"/>
      <c r="AL90" s="9"/>
      <c r="AM90" s="8"/>
      <c r="AN90" s="9"/>
      <c r="AO90" s="8"/>
      <c r="AP90" s="9"/>
      <c r="AQ90" s="8"/>
      <c r="AR90" s="9"/>
      <c r="AS90" s="8"/>
      <c r="AT90" s="9"/>
      <c r="AU90" s="8"/>
      <c r="AV90" s="9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>
        <f t="shared" si="5"/>
        <v>0</v>
      </c>
      <c r="BK90" s="8"/>
      <c r="BL90" s="4" t="s">
        <v>218</v>
      </c>
      <c r="BM90" s="61" t="s">
        <v>113</v>
      </c>
      <c r="BN90" t="s">
        <v>331</v>
      </c>
    </row>
    <row r="91" spans="1:66" ht="15">
      <c r="A91" s="2">
        <f t="shared" si="0"/>
        <v>89</v>
      </c>
      <c r="B91" s="4" t="s">
        <v>219</v>
      </c>
      <c r="C91" s="5"/>
      <c r="D91" s="6"/>
      <c r="E91" s="5"/>
      <c r="F91" s="6"/>
      <c r="G91" s="5"/>
      <c r="H91" s="6"/>
      <c r="I91" s="9" t="s">
        <v>113</v>
      </c>
      <c r="J91" s="8"/>
      <c r="K91" s="9"/>
      <c r="L91" s="8"/>
      <c r="M91" s="9"/>
      <c r="N91" s="8"/>
      <c r="O91" s="9"/>
      <c r="P91" s="8"/>
      <c r="Q91" s="9"/>
      <c r="R91" s="9"/>
      <c r="S91" s="8"/>
      <c r="T91" s="9"/>
      <c r="U91" s="8"/>
      <c r="V91" s="9"/>
      <c r="W91" s="8"/>
      <c r="X91" s="9"/>
      <c r="Y91" s="8"/>
      <c r="Z91" s="9"/>
      <c r="AA91" s="8"/>
      <c r="AB91" s="9"/>
      <c r="AC91" s="8"/>
      <c r="AD91" s="9"/>
      <c r="AE91" s="8"/>
      <c r="AF91" s="9"/>
      <c r="AG91" s="8"/>
      <c r="AH91" s="9"/>
      <c r="AI91" s="8"/>
      <c r="AJ91" s="9"/>
      <c r="AK91" s="8"/>
      <c r="AL91" s="9"/>
      <c r="AM91" s="8"/>
      <c r="AN91" s="9"/>
      <c r="AO91" s="8"/>
      <c r="AP91" s="9"/>
      <c r="AQ91" s="8"/>
      <c r="AR91" s="9"/>
      <c r="AS91" s="8"/>
      <c r="AT91" s="9"/>
      <c r="AU91" s="8"/>
      <c r="AV91" s="9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>
        <f t="shared" si="5"/>
        <v>0</v>
      </c>
      <c r="BK91" s="8"/>
      <c r="BL91" s="4" t="s">
        <v>219</v>
      </c>
      <c r="BM91" s="61" t="s">
        <v>113</v>
      </c>
      <c r="BN91" t="s">
        <v>331</v>
      </c>
    </row>
    <row r="92" spans="1:66" ht="15">
      <c r="A92" s="2">
        <f t="shared" si="0"/>
        <v>90</v>
      </c>
      <c r="B92" s="4" t="s">
        <v>114</v>
      </c>
      <c r="C92" s="49"/>
      <c r="D92" s="50"/>
      <c r="E92" s="49"/>
      <c r="F92" s="50"/>
      <c r="G92" s="49"/>
      <c r="H92" s="50"/>
      <c r="I92" s="10"/>
      <c r="J92" s="11"/>
      <c r="K92" s="10">
        <v>80.900000000000006</v>
      </c>
      <c r="L92" s="11"/>
      <c r="M92" s="10"/>
      <c r="N92" s="11"/>
      <c r="O92" s="10"/>
      <c r="P92" s="33"/>
      <c r="Q92" s="34"/>
      <c r="R92" s="34"/>
      <c r="S92" s="33"/>
      <c r="T92" s="34"/>
      <c r="U92" s="33"/>
      <c r="V92" s="34"/>
      <c r="W92" s="33"/>
      <c r="X92" s="34"/>
      <c r="Y92" s="33"/>
      <c r="Z92" s="34"/>
      <c r="AA92" s="33"/>
      <c r="AB92" s="34"/>
      <c r="AC92" s="33"/>
      <c r="AD92" s="34"/>
      <c r="AE92" s="33"/>
      <c r="AF92" s="34"/>
      <c r="AG92" s="33"/>
      <c r="AH92" s="34"/>
      <c r="AI92" s="33"/>
      <c r="AJ92" s="34"/>
      <c r="AK92" s="33"/>
      <c r="AL92" s="34"/>
      <c r="AM92" s="33"/>
      <c r="AN92" s="34"/>
      <c r="AO92" s="33"/>
      <c r="AP92" s="52" t="s">
        <v>332</v>
      </c>
      <c r="AQ92" s="51"/>
      <c r="AR92" s="52">
        <v>430</v>
      </c>
      <c r="AS92" s="51"/>
      <c r="AT92" s="52"/>
      <c r="AU92" s="51"/>
      <c r="AV92" s="52"/>
      <c r="AW92" s="8" t="s">
        <v>396</v>
      </c>
      <c r="AX92" s="8"/>
      <c r="AY92" s="8" t="s">
        <v>386</v>
      </c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>
        <f t="shared" si="5"/>
        <v>510.9</v>
      </c>
      <c r="BK92" s="8"/>
      <c r="BL92" s="4" t="s">
        <v>114</v>
      </c>
      <c r="BM92" s="58" t="s">
        <v>313</v>
      </c>
      <c r="BN92" t="s">
        <v>333</v>
      </c>
    </row>
    <row r="93" spans="1:66" ht="15">
      <c r="A93" s="2">
        <f t="shared" si="0"/>
        <v>91</v>
      </c>
      <c r="B93" s="4" t="s">
        <v>115</v>
      </c>
      <c r="C93" s="5"/>
      <c r="D93" s="6"/>
      <c r="E93" s="5"/>
      <c r="F93" s="6"/>
      <c r="G93" s="5"/>
      <c r="H93" s="6"/>
      <c r="I93" s="5">
        <v>150.91</v>
      </c>
      <c r="J93" s="6"/>
      <c r="K93" s="5"/>
      <c r="L93" s="6"/>
      <c r="M93" s="5"/>
      <c r="N93" s="6"/>
      <c r="O93" s="5"/>
      <c r="P93" s="6"/>
      <c r="Q93" s="5"/>
      <c r="R93" s="5"/>
      <c r="S93" s="6"/>
      <c r="T93" s="5"/>
      <c r="U93" s="6"/>
      <c r="V93" s="5">
        <v>150.91</v>
      </c>
      <c r="W93" s="6"/>
      <c r="X93" s="5"/>
      <c r="Y93" s="11"/>
      <c r="Z93" s="10"/>
      <c r="AA93" s="11"/>
      <c r="AB93" s="10"/>
      <c r="AC93" s="11"/>
      <c r="AD93" s="10"/>
      <c r="AE93" s="11"/>
      <c r="AF93" s="10"/>
      <c r="AG93" s="11"/>
      <c r="AH93" s="10"/>
      <c r="AI93" s="11"/>
      <c r="AJ93" s="10">
        <v>150.91</v>
      </c>
      <c r="AK93" s="8"/>
      <c r="AL93" s="9"/>
      <c r="AM93" s="8"/>
      <c r="AN93" s="9"/>
      <c r="AO93" s="8"/>
      <c r="AP93" s="9"/>
      <c r="AQ93" s="8"/>
      <c r="AR93" s="9"/>
      <c r="AS93" s="8"/>
      <c r="AT93" s="9"/>
      <c r="AU93" s="8"/>
      <c r="AV93" s="9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>
        <f t="shared" si="5"/>
        <v>452.73</v>
      </c>
      <c r="BK93" s="8"/>
      <c r="BL93" s="4" t="s">
        <v>115</v>
      </c>
      <c r="BM93" s="58" t="s">
        <v>313</v>
      </c>
      <c r="BN93" t="s">
        <v>334</v>
      </c>
    </row>
    <row r="94" spans="1:66" ht="15">
      <c r="A94" s="2">
        <f t="shared" si="0"/>
        <v>92</v>
      </c>
      <c r="B94" s="4" t="s">
        <v>116</v>
      </c>
      <c r="C94" s="5">
        <v>150.91999999999999</v>
      </c>
      <c r="D94" s="6"/>
      <c r="E94" s="5"/>
      <c r="F94" s="6"/>
      <c r="G94" s="5"/>
      <c r="H94" s="6"/>
      <c r="I94" s="5"/>
      <c r="J94" s="6"/>
      <c r="K94" s="5"/>
      <c r="L94" s="6"/>
      <c r="M94" s="5"/>
      <c r="N94" s="6"/>
      <c r="O94" s="5"/>
      <c r="P94" s="6"/>
      <c r="Q94" s="5"/>
      <c r="R94" s="5">
        <v>175</v>
      </c>
      <c r="S94" s="6"/>
      <c r="T94" s="5"/>
      <c r="U94" s="6"/>
      <c r="V94" s="5"/>
      <c r="W94" s="6"/>
      <c r="X94" s="5"/>
      <c r="Y94" s="11"/>
      <c r="Z94" s="10"/>
      <c r="AA94" s="11"/>
      <c r="AB94" s="10"/>
      <c r="AC94" s="11"/>
      <c r="AD94" s="10"/>
      <c r="AE94" s="11"/>
      <c r="AF94" s="10">
        <v>150.91999999999999</v>
      </c>
      <c r="AG94" s="11"/>
      <c r="AH94" s="10"/>
      <c r="AI94" s="11"/>
      <c r="AJ94" s="10">
        <v>150.91999999999999</v>
      </c>
      <c r="AK94" s="11"/>
      <c r="AL94" s="10"/>
      <c r="AM94" s="11"/>
      <c r="AN94" s="10"/>
      <c r="AO94" s="11"/>
      <c r="AP94" s="10"/>
      <c r="AQ94" s="11"/>
      <c r="AR94" s="10">
        <v>60.92</v>
      </c>
      <c r="AS94" s="11"/>
      <c r="AT94" s="10"/>
      <c r="AU94" s="33"/>
      <c r="AV94" s="34"/>
      <c r="AW94" s="64"/>
      <c r="AX94" s="64"/>
      <c r="AY94" s="64">
        <v>240.92</v>
      </c>
      <c r="AZ94" s="64">
        <v>150.91999999999999</v>
      </c>
      <c r="BA94" s="64"/>
      <c r="BB94" s="64"/>
      <c r="BC94" s="8"/>
      <c r="BD94" s="8"/>
      <c r="BE94" s="8"/>
      <c r="BF94" s="8"/>
      <c r="BG94" s="8"/>
      <c r="BH94" s="8"/>
      <c r="BI94" s="8"/>
      <c r="BJ94" s="8">
        <f t="shared" si="5"/>
        <v>688.67999999999984</v>
      </c>
      <c r="BK94" s="8"/>
      <c r="BL94" s="4" t="s">
        <v>116</v>
      </c>
      <c r="BM94" s="58" t="s">
        <v>313</v>
      </c>
      <c r="BN94" t="s">
        <v>335</v>
      </c>
    </row>
    <row r="95" spans="1:66" ht="15">
      <c r="A95" s="2">
        <f t="shared" si="0"/>
        <v>93</v>
      </c>
      <c r="B95" s="4" t="s">
        <v>117</v>
      </c>
      <c r="C95" s="9"/>
      <c r="D95" s="8"/>
      <c r="E95" s="9"/>
      <c r="F95" s="8"/>
      <c r="G95" s="9"/>
      <c r="H95" s="8"/>
      <c r="I95" s="9"/>
      <c r="J95" s="8"/>
      <c r="K95" s="9"/>
      <c r="L95" s="8"/>
      <c r="M95" s="9"/>
      <c r="N95" s="8"/>
      <c r="O95" s="9"/>
      <c r="P95" s="8"/>
      <c r="Q95" s="9"/>
      <c r="R95" s="9"/>
      <c r="S95" s="8"/>
      <c r="T95" s="9"/>
      <c r="U95" s="8"/>
      <c r="V95" s="9"/>
      <c r="W95" s="8"/>
      <c r="X95" s="9"/>
      <c r="Y95" s="8"/>
      <c r="Z95" s="9"/>
      <c r="AA95" s="8"/>
      <c r="AB95" s="9"/>
      <c r="AC95" s="8"/>
      <c r="AD95" s="9"/>
      <c r="AE95" s="8"/>
      <c r="AF95" s="9"/>
      <c r="AG95" s="8"/>
      <c r="AH95" s="9"/>
      <c r="AI95" s="8"/>
      <c r="AJ95" s="9"/>
      <c r="AK95" s="8"/>
      <c r="AL95" s="9"/>
      <c r="AM95" s="8"/>
      <c r="AN95" s="9"/>
      <c r="AO95" s="8"/>
      <c r="AP95" s="9"/>
      <c r="AQ95" s="8"/>
      <c r="AR95" s="9"/>
      <c r="AS95" s="8"/>
      <c r="AT95" s="9"/>
      <c r="AU95" s="8"/>
      <c r="AV95" s="9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>
        <f t="shared" si="5"/>
        <v>0</v>
      </c>
      <c r="BK95" s="8"/>
      <c r="BL95" s="4" t="s">
        <v>117</v>
      </c>
      <c r="BM95" s="58" t="s">
        <v>313</v>
      </c>
      <c r="BN95" t="s">
        <v>336</v>
      </c>
    </row>
    <row r="96" spans="1:66" ht="15">
      <c r="A96" s="2">
        <f t="shared" si="0"/>
        <v>94</v>
      </c>
      <c r="B96" s="4" t="s">
        <v>118</v>
      </c>
      <c r="C96" s="5">
        <v>100</v>
      </c>
      <c r="D96" s="6"/>
      <c r="E96" s="5"/>
      <c r="F96" s="6"/>
      <c r="G96" s="5"/>
      <c r="H96" s="6"/>
      <c r="I96" s="5"/>
      <c r="J96" s="6"/>
      <c r="K96" s="5">
        <v>100</v>
      </c>
      <c r="L96" s="6"/>
      <c r="M96" s="5"/>
      <c r="N96" s="6"/>
      <c r="O96" s="5"/>
      <c r="P96" s="6"/>
      <c r="Q96" s="5">
        <v>100</v>
      </c>
      <c r="R96" s="5"/>
      <c r="S96" s="6"/>
      <c r="T96" s="5"/>
      <c r="U96" s="6"/>
      <c r="V96" s="5"/>
      <c r="W96" s="6"/>
      <c r="X96" s="5"/>
      <c r="Y96" s="6"/>
      <c r="Z96" s="5"/>
      <c r="AA96" s="6"/>
      <c r="AB96" s="5"/>
      <c r="AC96" s="6"/>
      <c r="AD96" s="5"/>
      <c r="AE96" s="6"/>
      <c r="AF96" s="5"/>
      <c r="AG96" s="11"/>
      <c r="AH96" s="10">
        <v>100.94</v>
      </c>
      <c r="AI96" s="11"/>
      <c r="AJ96" s="10"/>
      <c r="AK96" s="11"/>
      <c r="AL96" s="10"/>
      <c r="AM96" s="11"/>
      <c r="AN96" s="10"/>
      <c r="AO96" s="33"/>
      <c r="AP96" s="34">
        <v>160.94</v>
      </c>
      <c r="AQ96" s="33"/>
      <c r="AR96" s="34"/>
      <c r="AS96" s="33"/>
      <c r="AT96" s="34"/>
      <c r="AU96" s="33"/>
      <c r="AV96" s="34"/>
      <c r="AW96" s="33">
        <v>160.94</v>
      </c>
      <c r="AX96" s="33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>
        <f t="shared" si="5"/>
        <v>722.81999999999994</v>
      </c>
      <c r="BK96" s="8"/>
      <c r="BL96" s="4" t="s">
        <v>118</v>
      </c>
      <c r="BM96" s="59" t="s">
        <v>314</v>
      </c>
      <c r="BN96" t="s">
        <v>337</v>
      </c>
    </row>
    <row r="97" spans="1:66" ht="15">
      <c r="A97" s="2">
        <f t="shared" si="0"/>
        <v>95</v>
      </c>
      <c r="B97" s="4" t="s">
        <v>119</v>
      </c>
      <c r="C97" s="5">
        <v>200.95</v>
      </c>
      <c r="D97" s="6"/>
      <c r="E97" s="5"/>
      <c r="F97" s="6"/>
      <c r="G97" s="5"/>
      <c r="H97" s="6"/>
      <c r="I97" s="5"/>
      <c r="J97" s="6"/>
      <c r="K97" s="5"/>
      <c r="L97" s="6"/>
      <c r="M97" s="5"/>
      <c r="N97" s="6"/>
      <c r="O97" s="5"/>
      <c r="P97" s="6"/>
      <c r="Q97" s="5"/>
      <c r="R97" s="5"/>
      <c r="S97" s="6"/>
      <c r="T97" s="5"/>
      <c r="U97" s="6"/>
      <c r="V97" s="5"/>
      <c r="W97" s="6"/>
      <c r="X97" s="5"/>
      <c r="Y97" s="6"/>
      <c r="Z97" s="5"/>
      <c r="AA97" s="6"/>
      <c r="AB97" s="5">
        <v>100</v>
      </c>
      <c r="AC97" s="6" t="s">
        <v>120</v>
      </c>
      <c r="AD97" s="5"/>
      <c r="AE97" s="6"/>
      <c r="AF97" s="5"/>
      <c r="AG97" s="6"/>
      <c r="AH97" s="5">
        <v>102</v>
      </c>
      <c r="AI97" s="6"/>
      <c r="AJ97" s="5"/>
      <c r="AK97" s="6"/>
      <c r="AL97" s="5"/>
      <c r="AM97" s="6"/>
      <c r="AN97" s="5"/>
      <c r="AO97" s="33"/>
      <c r="AP97" s="34">
        <v>80.95</v>
      </c>
      <c r="AQ97" s="33"/>
      <c r="AR97" s="31">
        <v>80.95</v>
      </c>
      <c r="AS97" s="33"/>
      <c r="AT97" s="34"/>
      <c r="AU97" s="33"/>
      <c r="AV97" s="34">
        <v>160.94999999999999</v>
      </c>
      <c r="AW97" s="33"/>
      <c r="AX97" s="33"/>
      <c r="AY97" s="64">
        <v>220.95</v>
      </c>
      <c r="AZ97" s="64"/>
      <c r="BA97" s="64"/>
      <c r="BB97" s="64"/>
      <c r="BC97" s="64"/>
      <c r="BD97" s="64"/>
      <c r="BE97" s="8" t="s">
        <v>363</v>
      </c>
      <c r="BF97" s="8"/>
      <c r="BG97" s="8"/>
      <c r="BH97" s="8"/>
      <c r="BI97" s="8"/>
      <c r="BJ97" s="8">
        <f t="shared" si="5"/>
        <v>725.8</v>
      </c>
      <c r="BK97" s="8"/>
      <c r="BL97" s="4" t="s">
        <v>119</v>
      </c>
      <c r="BM97" s="59" t="s">
        <v>314</v>
      </c>
      <c r="BN97" t="s">
        <v>337</v>
      </c>
    </row>
    <row r="98" spans="1:66" ht="15">
      <c r="A98" s="2">
        <f t="shared" si="0"/>
        <v>96</v>
      </c>
      <c r="B98" s="4" t="s">
        <v>121</v>
      </c>
      <c r="C98" s="5"/>
      <c r="D98" s="6"/>
      <c r="E98" s="5"/>
      <c r="F98" s="6"/>
      <c r="G98" s="5"/>
      <c r="H98" s="6"/>
      <c r="I98" s="5"/>
      <c r="J98" s="6"/>
      <c r="K98" s="5"/>
      <c r="L98" s="6"/>
      <c r="M98" s="5"/>
      <c r="N98" s="6"/>
      <c r="O98" s="5"/>
      <c r="P98" s="6"/>
      <c r="Q98" s="5"/>
      <c r="R98" s="5"/>
      <c r="S98" s="6"/>
      <c r="T98" s="5"/>
      <c r="U98" s="6"/>
      <c r="V98" s="5"/>
      <c r="W98" s="6"/>
      <c r="X98" s="5"/>
      <c r="Y98" s="6"/>
      <c r="Z98" s="5"/>
      <c r="AA98" s="6"/>
      <c r="AB98" s="5"/>
      <c r="AC98" s="6"/>
      <c r="AD98" s="5"/>
      <c r="AE98" s="6"/>
      <c r="AF98" s="5"/>
      <c r="AG98" s="6"/>
      <c r="AH98" s="5"/>
      <c r="AI98" s="6"/>
      <c r="AJ98" s="5"/>
      <c r="AK98" s="33"/>
      <c r="AL98" s="34"/>
      <c r="AM98" s="33"/>
      <c r="AN98" s="34"/>
      <c r="AO98" s="33"/>
      <c r="AP98" s="34"/>
      <c r="AQ98" s="33"/>
      <c r="AR98" s="34"/>
      <c r="AS98" s="33"/>
      <c r="AT98" s="34"/>
      <c r="AU98" s="33"/>
      <c r="AV98" s="34"/>
      <c r="AW98" s="64"/>
      <c r="AX98" s="64">
        <v>240</v>
      </c>
      <c r="AY98" s="64">
        <v>90.96</v>
      </c>
      <c r="AZ98" s="64"/>
      <c r="BA98" s="64">
        <v>120</v>
      </c>
      <c r="BB98" s="64"/>
      <c r="BC98" s="8"/>
      <c r="BD98" s="8"/>
      <c r="BE98" s="8"/>
      <c r="BF98" s="8"/>
      <c r="BG98" s="8"/>
      <c r="BH98" s="8"/>
      <c r="BI98" s="8"/>
      <c r="BJ98" s="8">
        <f t="shared" si="5"/>
        <v>240</v>
      </c>
      <c r="BK98" s="8"/>
      <c r="BL98" s="4" t="s">
        <v>121</v>
      </c>
      <c r="BM98" s="58" t="s">
        <v>313</v>
      </c>
      <c r="BN98" t="s">
        <v>334</v>
      </c>
    </row>
    <row r="99" spans="1:66" ht="15">
      <c r="A99" s="2">
        <f t="shared" si="0"/>
        <v>97</v>
      </c>
      <c r="B99" s="4" t="s">
        <v>122</v>
      </c>
      <c r="C99" s="5"/>
      <c r="D99" s="6"/>
      <c r="E99" s="5">
        <v>300.97000000000003</v>
      </c>
      <c r="F99" s="6"/>
      <c r="G99" s="5"/>
      <c r="H99" s="6"/>
      <c r="I99" s="5"/>
      <c r="J99" s="6"/>
      <c r="K99" s="5"/>
      <c r="L99" s="6"/>
      <c r="M99" s="5"/>
      <c r="N99" s="6"/>
      <c r="O99" s="5"/>
      <c r="P99" s="6"/>
      <c r="Q99" s="5"/>
      <c r="R99" s="5"/>
      <c r="S99" s="6"/>
      <c r="T99" s="5"/>
      <c r="U99" s="6"/>
      <c r="V99" s="5"/>
      <c r="W99" s="6"/>
      <c r="X99" s="5"/>
      <c r="Y99" s="33"/>
      <c r="Z99" s="34"/>
      <c r="AA99" s="33"/>
      <c r="AB99" s="34"/>
      <c r="AC99" s="33"/>
      <c r="AD99" s="34"/>
      <c r="AE99" s="33"/>
      <c r="AF99" s="34"/>
      <c r="AG99" s="33"/>
      <c r="AH99" s="34"/>
      <c r="AI99" s="33"/>
      <c r="AJ99" s="34"/>
      <c r="AK99" s="33"/>
      <c r="AL99" s="34"/>
      <c r="AM99" s="33"/>
      <c r="AN99" s="34"/>
      <c r="AO99" s="33"/>
      <c r="AP99" s="34"/>
      <c r="AQ99" s="33"/>
      <c r="AR99" s="34"/>
      <c r="AS99" s="33"/>
      <c r="AT99" s="34"/>
      <c r="AU99" s="33"/>
      <c r="AV99" s="34">
        <v>360</v>
      </c>
      <c r="AW99" s="64"/>
      <c r="AX99" s="64"/>
      <c r="AY99" s="64"/>
      <c r="AZ99" s="64"/>
      <c r="BA99" s="64"/>
      <c r="BB99" s="64">
        <v>480</v>
      </c>
      <c r="BC99" s="64"/>
      <c r="BD99" s="64"/>
      <c r="BE99" s="64"/>
      <c r="BF99" s="64"/>
      <c r="BG99" s="64"/>
      <c r="BH99" s="64"/>
      <c r="BI99" s="8"/>
      <c r="BJ99" s="8">
        <f t="shared" si="5"/>
        <v>660.97</v>
      </c>
      <c r="BK99" s="8"/>
      <c r="BL99" s="4" t="s">
        <v>122</v>
      </c>
      <c r="BM99" s="58" t="s">
        <v>313</v>
      </c>
      <c r="BN99" t="s">
        <v>335</v>
      </c>
    </row>
    <row r="100" spans="1:66" ht="15">
      <c r="A100" s="2">
        <f t="shared" si="0"/>
        <v>98</v>
      </c>
      <c r="B100" s="4" t="s">
        <v>123</v>
      </c>
      <c r="C100" s="9"/>
      <c r="D100" s="8"/>
      <c r="E100" s="9"/>
      <c r="F100" s="8"/>
      <c r="G100" s="9"/>
      <c r="H100" s="8"/>
      <c r="I100" s="9"/>
      <c r="J100" s="8"/>
      <c r="K100" s="9"/>
      <c r="L100" s="8"/>
      <c r="M100" s="16"/>
      <c r="N100" s="8"/>
      <c r="O100" s="9"/>
      <c r="P100" s="8"/>
      <c r="Q100" s="9"/>
      <c r="R100" s="41"/>
      <c r="S100" s="40"/>
      <c r="T100" s="41"/>
      <c r="U100" s="40"/>
      <c r="V100" s="41"/>
      <c r="W100" s="40"/>
      <c r="X100" s="41"/>
      <c r="Y100" s="6"/>
      <c r="Z100" s="5"/>
      <c r="AA100" s="6"/>
      <c r="AB100" s="5"/>
      <c r="AC100" s="6"/>
      <c r="AD100" s="5"/>
      <c r="AE100" s="6"/>
      <c r="AF100" s="5">
        <v>200.98</v>
      </c>
      <c r="AG100" s="8"/>
      <c r="AH100" s="9"/>
      <c r="AI100" s="8"/>
      <c r="AJ100" s="9"/>
      <c r="AK100" s="8"/>
      <c r="AL100" s="9"/>
      <c r="AM100" s="8"/>
      <c r="AN100" s="9"/>
      <c r="AO100" s="8"/>
      <c r="AP100" s="9"/>
      <c r="AQ100" s="8"/>
      <c r="AR100" s="9"/>
      <c r="AS100" s="8"/>
      <c r="AT100" s="9"/>
      <c r="AU100" s="8"/>
      <c r="AV100" s="9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>
        <f t="shared" si="5"/>
        <v>200.98</v>
      </c>
      <c r="BK100" s="8"/>
      <c r="BL100" s="4" t="s">
        <v>123</v>
      </c>
      <c r="BM100" s="58" t="s">
        <v>313</v>
      </c>
      <c r="BN100" t="s">
        <v>339</v>
      </c>
    </row>
    <row r="101" spans="1:66" ht="15">
      <c r="A101" s="2">
        <f t="shared" si="0"/>
        <v>99</v>
      </c>
      <c r="B101" s="4" t="s">
        <v>124</v>
      </c>
      <c r="C101" s="5"/>
      <c r="D101" s="6"/>
      <c r="E101" s="5"/>
      <c r="F101" s="6"/>
      <c r="G101" s="5"/>
      <c r="H101" s="6"/>
      <c r="I101" s="5">
        <v>150</v>
      </c>
      <c r="J101" s="6"/>
      <c r="K101" s="5"/>
      <c r="L101" s="6"/>
      <c r="M101" s="5"/>
      <c r="N101" s="6"/>
      <c r="O101" s="5"/>
      <c r="P101" s="6"/>
      <c r="Q101" s="5"/>
      <c r="R101" s="5"/>
      <c r="S101" s="6"/>
      <c r="T101" s="5"/>
      <c r="U101" s="6"/>
      <c r="V101" s="5">
        <v>150.99</v>
      </c>
      <c r="W101" s="6"/>
      <c r="X101" s="5"/>
      <c r="Y101" s="6"/>
      <c r="Z101" s="5"/>
      <c r="AA101" s="6"/>
      <c r="AB101" s="5">
        <v>150.99</v>
      </c>
      <c r="AC101" s="6"/>
      <c r="AD101" s="5"/>
      <c r="AE101" s="6"/>
      <c r="AF101" s="5"/>
      <c r="AG101" s="6"/>
      <c r="AH101" s="5"/>
      <c r="AI101" s="6"/>
      <c r="AJ101" s="5"/>
      <c r="AK101" s="11"/>
      <c r="AL101" s="10">
        <v>150.99</v>
      </c>
      <c r="AM101" s="11"/>
      <c r="AN101" s="10">
        <v>60.99</v>
      </c>
      <c r="AO101" s="11"/>
      <c r="AP101" s="10"/>
      <c r="AQ101" s="11"/>
      <c r="AR101" s="10"/>
      <c r="AS101" s="11"/>
      <c r="AT101" s="10"/>
      <c r="AU101" s="33"/>
      <c r="AV101" s="34"/>
      <c r="AW101" s="64"/>
      <c r="AX101" s="64">
        <v>80.989999999999995</v>
      </c>
      <c r="AY101" s="64"/>
      <c r="AZ101" s="64">
        <v>80</v>
      </c>
      <c r="BA101" s="8"/>
      <c r="BB101" s="8"/>
      <c r="BC101" s="8"/>
      <c r="BD101" s="8"/>
      <c r="BE101" s="8"/>
      <c r="BF101" s="8"/>
      <c r="BG101" s="8"/>
      <c r="BH101" s="8"/>
      <c r="BI101" s="8"/>
      <c r="BJ101" s="8">
        <f t="shared" si="5"/>
        <v>744.95</v>
      </c>
      <c r="BK101" s="8"/>
      <c r="BL101" s="4" t="s">
        <v>124</v>
      </c>
      <c r="BM101" s="58" t="s">
        <v>313</v>
      </c>
      <c r="BN101" t="s">
        <v>335</v>
      </c>
    </row>
    <row r="102" spans="1:66" ht="15">
      <c r="A102" s="2">
        <f t="shared" si="0"/>
        <v>100</v>
      </c>
      <c r="B102" s="4" t="s">
        <v>229</v>
      </c>
      <c r="C102" s="5"/>
      <c r="D102" s="6"/>
      <c r="E102" s="5">
        <v>76</v>
      </c>
      <c r="F102" s="6"/>
      <c r="G102" s="5"/>
      <c r="H102" s="6"/>
      <c r="I102" s="5"/>
      <c r="J102" s="6"/>
      <c r="K102" s="5">
        <v>26</v>
      </c>
      <c r="L102" s="6"/>
      <c r="M102" s="5">
        <v>51</v>
      </c>
      <c r="N102" s="6"/>
      <c r="O102" s="5"/>
      <c r="P102" s="6"/>
      <c r="Q102" s="5"/>
      <c r="R102" s="5">
        <v>51</v>
      </c>
      <c r="S102" s="6">
        <v>76</v>
      </c>
      <c r="T102" s="5"/>
      <c r="U102" s="6"/>
      <c r="V102" s="5"/>
      <c r="W102" s="6"/>
      <c r="X102" s="5"/>
      <c r="Y102" s="6"/>
      <c r="Z102" s="5">
        <v>106</v>
      </c>
      <c r="AA102" s="6" t="s">
        <v>125</v>
      </c>
      <c r="AB102" s="5"/>
      <c r="AC102" s="6"/>
      <c r="AD102" s="5"/>
      <c r="AE102" s="6"/>
      <c r="AF102" s="5"/>
      <c r="AG102" s="33"/>
      <c r="AH102" s="34"/>
      <c r="AI102" s="11"/>
      <c r="AJ102" s="10"/>
      <c r="AK102" s="11"/>
      <c r="AL102" s="34">
        <v>51</v>
      </c>
      <c r="AM102" s="33"/>
      <c r="AN102" s="34"/>
      <c r="AO102" s="33"/>
      <c r="AP102" s="34" t="s">
        <v>230</v>
      </c>
      <c r="AR102" s="34"/>
      <c r="AS102" s="33"/>
      <c r="AT102" s="75"/>
      <c r="AU102" s="64"/>
      <c r="AV102" s="64"/>
      <c r="AW102" s="64"/>
      <c r="AX102" s="64">
        <v>120</v>
      </c>
      <c r="AY102" s="64"/>
      <c r="AZ102" s="64">
        <v>81</v>
      </c>
      <c r="BA102" s="64">
        <v>121</v>
      </c>
      <c r="BB102" s="64">
        <v>121</v>
      </c>
      <c r="BC102" s="64"/>
      <c r="BD102" s="64"/>
      <c r="BE102" s="64"/>
      <c r="BF102" s="8"/>
      <c r="BG102" s="8"/>
      <c r="BH102" s="8"/>
      <c r="BI102" s="8"/>
      <c r="BJ102" s="8">
        <f t="shared" si="5"/>
        <v>557</v>
      </c>
      <c r="BK102" s="8"/>
      <c r="BL102" s="4" t="s">
        <v>229</v>
      </c>
      <c r="BM102" s="58" t="s">
        <v>313</v>
      </c>
      <c r="BN102" t="s">
        <v>340</v>
      </c>
    </row>
    <row r="103" spans="1:66" ht="15">
      <c r="A103" s="2">
        <f t="shared" si="0"/>
        <v>101</v>
      </c>
      <c r="B103" s="4" t="s">
        <v>126</v>
      </c>
      <c r="C103" s="5">
        <v>26.01</v>
      </c>
      <c r="D103" s="6"/>
      <c r="E103" s="5">
        <v>26.01</v>
      </c>
      <c r="F103" s="6"/>
      <c r="G103" s="5">
        <v>26.01</v>
      </c>
      <c r="H103" s="6"/>
      <c r="I103" s="5">
        <v>26.01</v>
      </c>
      <c r="J103" s="6"/>
      <c r="K103" s="5">
        <v>26.01</v>
      </c>
      <c r="L103" s="6"/>
      <c r="M103" s="5">
        <v>26.01</v>
      </c>
      <c r="N103" s="6"/>
      <c r="O103" s="5">
        <v>26.01</v>
      </c>
      <c r="P103" s="6"/>
      <c r="Q103" s="5">
        <v>26.01</v>
      </c>
      <c r="R103" s="5">
        <v>26.01</v>
      </c>
      <c r="S103" s="6"/>
      <c r="T103" s="5">
        <v>26.01</v>
      </c>
      <c r="U103" s="6"/>
      <c r="V103" s="5">
        <v>26.01</v>
      </c>
      <c r="W103" s="6"/>
      <c r="X103" s="5">
        <v>26.01</v>
      </c>
      <c r="Y103" s="6"/>
      <c r="Z103" s="5">
        <v>26.01</v>
      </c>
      <c r="AA103" s="6"/>
      <c r="AB103" s="5">
        <v>26.01</v>
      </c>
      <c r="AC103" s="6"/>
      <c r="AD103" s="5">
        <v>26.01</v>
      </c>
      <c r="AE103" s="11"/>
      <c r="AF103" s="10">
        <v>26.01</v>
      </c>
      <c r="AG103" s="11"/>
      <c r="AH103" s="10">
        <v>26.01</v>
      </c>
      <c r="AI103" s="11"/>
      <c r="AJ103" s="10">
        <v>26.01</v>
      </c>
      <c r="AK103" s="11"/>
      <c r="AL103" s="10">
        <v>26.01</v>
      </c>
      <c r="AM103" s="33"/>
      <c r="AN103" s="34">
        <v>26.01</v>
      </c>
      <c r="AO103" s="33"/>
      <c r="AP103" s="34">
        <v>40</v>
      </c>
      <c r="AQ103" s="33"/>
      <c r="AR103" s="34">
        <v>40</v>
      </c>
      <c r="AS103" s="33"/>
      <c r="AT103" s="34">
        <v>40</v>
      </c>
      <c r="AU103" s="33"/>
      <c r="AV103" s="34">
        <v>40</v>
      </c>
      <c r="AW103" s="8"/>
      <c r="AX103" s="8"/>
      <c r="AY103" s="64">
        <v>41.01</v>
      </c>
      <c r="AZ103" s="64">
        <v>41.01</v>
      </c>
      <c r="BA103" s="64">
        <v>41.01</v>
      </c>
      <c r="BB103" s="8"/>
      <c r="BC103" s="8"/>
      <c r="BD103" s="8"/>
      <c r="BE103" s="8"/>
      <c r="BF103" s="8"/>
      <c r="BG103" s="8"/>
      <c r="BH103" s="8"/>
      <c r="BI103" s="8"/>
      <c r="BJ103" s="8">
        <f t="shared" si="5"/>
        <v>680.19999999999993</v>
      </c>
      <c r="BK103" s="8"/>
      <c r="BL103" s="4" t="s">
        <v>126</v>
      </c>
      <c r="BM103" s="58" t="s">
        <v>313</v>
      </c>
      <c r="BN103" t="s">
        <v>335</v>
      </c>
    </row>
    <row r="104" spans="1:66" ht="15">
      <c r="A104" s="2">
        <f t="shared" si="0"/>
        <v>102</v>
      </c>
      <c r="B104" s="4" t="s">
        <v>127</v>
      </c>
      <c r="C104" s="5"/>
      <c r="D104" s="6"/>
      <c r="E104" s="5"/>
      <c r="F104" s="6"/>
      <c r="G104" s="5"/>
      <c r="H104" s="6"/>
      <c r="I104" s="5"/>
      <c r="J104" s="6"/>
      <c r="K104" s="5"/>
      <c r="L104" s="6"/>
      <c r="M104" s="5"/>
      <c r="N104" s="6"/>
      <c r="O104" s="5"/>
      <c r="P104" s="6"/>
      <c r="Q104" s="5"/>
      <c r="R104" s="5"/>
      <c r="S104" s="6"/>
      <c r="T104" s="5"/>
      <c r="U104" s="6"/>
      <c r="V104" s="5"/>
      <c r="W104" s="6"/>
      <c r="X104" s="5"/>
      <c r="Y104" s="6"/>
      <c r="Z104" s="5"/>
      <c r="AA104" s="6"/>
      <c r="AB104" s="5">
        <v>300</v>
      </c>
      <c r="AC104" s="33"/>
      <c r="AD104" s="34"/>
      <c r="AE104" s="33"/>
      <c r="AF104" s="34"/>
      <c r="AG104" s="33"/>
      <c r="AH104" s="34"/>
      <c r="AI104" s="33"/>
      <c r="AJ104" s="34"/>
      <c r="AK104" s="33"/>
      <c r="AL104" s="34"/>
      <c r="AM104" s="33"/>
      <c r="AN104" s="34"/>
      <c r="AO104" s="33"/>
      <c r="AP104" s="34"/>
      <c r="AQ104" s="33"/>
      <c r="AR104" s="34"/>
      <c r="AS104" s="33"/>
      <c r="AT104" s="34"/>
      <c r="AU104" s="33"/>
      <c r="AV104" s="75" t="s">
        <v>371</v>
      </c>
      <c r="AW104" s="64"/>
      <c r="AX104" s="64"/>
      <c r="AY104" s="64">
        <v>481.02</v>
      </c>
      <c r="AZ104" s="64"/>
      <c r="BA104" s="64"/>
      <c r="BB104" s="64"/>
      <c r="BC104" s="64"/>
      <c r="BD104" s="64"/>
      <c r="BE104" s="64"/>
      <c r="BF104" s="64"/>
      <c r="BG104" s="64"/>
      <c r="BH104" s="8" t="s">
        <v>371</v>
      </c>
      <c r="BI104" s="8"/>
      <c r="BJ104" s="8">
        <f t="shared" si="5"/>
        <v>300</v>
      </c>
      <c r="BK104" s="8"/>
      <c r="BL104" s="4" t="s">
        <v>127</v>
      </c>
      <c r="BM104" s="58" t="s">
        <v>313</v>
      </c>
      <c r="BN104" s="45" t="s">
        <v>372</v>
      </c>
    </row>
    <row r="105" spans="1:66" ht="15">
      <c r="A105" s="2">
        <f t="shared" si="0"/>
        <v>103</v>
      </c>
      <c r="B105" s="4" t="s">
        <v>128</v>
      </c>
      <c r="C105" s="5">
        <v>301.02999999999997</v>
      </c>
      <c r="D105" s="6"/>
      <c r="E105" s="5"/>
      <c r="F105" s="6"/>
      <c r="G105" s="5"/>
      <c r="H105" s="6"/>
      <c r="I105" s="5"/>
      <c r="J105" s="6"/>
      <c r="K105" s="5"/>
      <c r="L105" s="6"/>
      <c r="M105" s="5"/>
      <c r="N105" s="6"/>
      <c r="O105" s="5"/>
      <c r="P105" s="6"/>
      <c r="Q105" s="5"/>
      <c r="R105" s="5"/>
      <c r="S105" s="6"/>
      <c r="T105" s="5"/>
      <c r="U105" s="6"/>
      <c r="V105" s="5"/>
      <c r="W105" s="6"/>
      <c r="X105" s="5"/>
      <c r="Y105" s="6"/>
      <c r="Z105" s="5">
        <v>151.05000000000001</v>
      </c>
      <c r="AA105" s="6">
        <v>301.02999999999997</v>
      </c>
      <c r="AB105" s="5"/>
      <c r="AC105" s="6"/>
      <c r="AD105" s="5"/>
      <c r="AE105" s="6"/>
      <c r="AF105" s="5"/>
      <c r="AG105" s="6"/>
      <c r="AH105" s="5"/>
      <c r="AI105" s="6"/>
      <c r="AJ105" s="5"/>
      <c r="AK105" s="6"/>
      <c r="AL105" s="5"/>
      <c r="AM105" s="6"/>
      <c r="AN105" s="5"/>
      <c r="AO105" s="6"/>
      <c r="AP105" s="5"/>
      <c r="AQ105" s="6"/>
      <c r="AR105" s="5"/>
      <c r="AS105" s="6"/>
      <c r="AT105" s="5"/>
      <c r="AU105" s="6"/>
      <c r="AV105" s="5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>
        <f t="shared" si="5"/>
        <v>753.1099999999999</v>
      </c>
      <c r="BK105" s="8"/>
      <c r="BL105" s="4" t="s">
        <v>128</v>
      </c>
      <c r="BM105" s="58" t="s">
        <v>313</v>
      </c>
      <c r="BN105" t="s">
        <v>335</v>
      </c>
    </row>
    <row r="106" spans="1:66" ht="15">
      <c r="A106" s="2">
        <f t="shared" si="0"/>
        <v>104</v>
      </c>
      <c r="B106" s="4" t="s">
        <v>129</v>
      </c>
      <c r="C106" s="5">
        <v>76.040000000000006</v>
      </c>
      <c r="D106" s="6"/>
      <c r="E106" s="5"/>
      <c r="F106" s="6"/>
      <c r="G106" s="5"/>
      <c r="H106" s="6"/>
      <c r="I106" s="5">
        <v>76.040000000000006</v>
      </c>
      <c r="J106" s="6"/>
      <c r="K106" s="5">
        <v>76.040000000000006</v>
      </c>
      <c r="L106" s="6"/>
      <c r="M106" s="5"/>
      <c r="N106" s="6"/>
      <c r="O106" s="5">
        <v>76.040000000000006</v>
      </c>
      <c r="P106" s="6"/>
      <c r="Q106" s="5"/>
      <c r="R106" s="5"/>
      <c r="S106" s="6"/>
      <c r="T106" s="5"/>
      <c r="U106" s="6"/>
      <c r="V106" s="5">
        <v>101.04</v>
      </c>
      <c r="W106" s="6"/>
      <c r="X106" s="5"/>
      <c r="Y106" s="6"/>
      <c r="Z106" s="5"/>
      <c r="AA106" s="6"/>
      <c r="AB106" s="5">
        <v>76.040000000000006</v>
      </c>
      <c r="AC106" s="6"/>
      <c r="AD106" s="5"/>
      <c r="AE106" s="11"/>
      <c r="AF106" s="10"/>
      <c r="AG106" s="11"/>
      <c r="AH106" s="10">
        <v>76.040000000000006</v>
      </c>
      <c r="AI106" s="11"/>
      <c r="AJ106" s="10"/>
      <c r="AK106" s="33"/>
      <c r="AL106" s="34"/>
      <c r="AM106" s="33"/>
      <c r="AN106" s="34"/>
      <c r="AO106" s="33"/>
      <c r="AP106" s="34"/>
      <c r="AQ106" s="33"/>
      <c r="AR106" s="34">
        <v>155.04</v>
      </c>
      <c r="AS106" s="33"/>
      <c r="AT106" s="75" t="s">
        <v>368</v>
      </c>
      <c r="AU106" s="64"/>
      <c r="AV106" s="75"/>
      <c r="AW106" s="64"/>
      <c r="AX106" s="64">
        <v>325</v>
      </c>
      <c r="AY106" s="74"/>
      <c r="AZ106" s="64"/>
      <c r="BA106" s="64"/>
      <c r="BB106" s="64"/>
      <c r="BC106" s="8"/>
      <c r="BD106" s="8"/>
      <c r="BE106" s="8"/>
      <c r="BF106" s="8"/>
      <c r="BG106" s="8"/>
      <c r="BH106" s="8"/>
      <c r="BI106" s="8"/>
      <c r="BJ106" s="8">
        <f t="shared" si="5"/>
        <v>1037.3200000000002</v>
      </c>
      <c r="BK106" s="8"/>
      <c r="BL106" s="4" t="s">
        <v>129</v>
      </c>
      <c r="BM106" s="58" t="s">
        <v>313</v>
      </c>
      <c r="BN106" t="s">
        <v>369</v>
      </c>
    </row>
    <row r="107" spans="1:66" ht="15">
      <c r="A107" s="2">
        <f t="shared" si="0"/>
        <v>105</v>
      </c>
      <c r="B107" s="4" t="s">
        <v>252</v>
      </c>
      <c r="C107" s="5"/>
      <c r="D107" s="6"/>
      <c r="E107" s="10"/>
      <c r="F107" s="11"/>
      <c r="G107" s="10"/>
      <c r="H107" s="11"/>
      <c r="I107" s="10"/>
      <c r="J107" s="11"/>
      <c r="K107" s="10"/>
      <c r="L107" s="11"/>
      <c r="M107" s="10"/>
      <c r="N107" s="11"/>
      <c r="O107" s="10"/>
      <c r="P107" s="11"/>
      <c r="Q107" s="10"/>
      <c r="R107" s="10"/>
      <c r="S107" s="11"/>
      <c r="T107" s="10"/>
      <c r="U107" s="11"/>
      <c r="V107" s="10"/>
      <c r="W107" s="11"/>
      <c r="X107" s="10"/>
      <c r="Y107" s="11"/>
      <c r="Z107" s="5"/>
      <c r="AA107" s="6"/>
      <c r="AB107" s="5"/>
      <c r="AC107" s="6"/>
      <c r="AD107" s="5"/>
      <c r="AE107" s="6"/>
      <c r="AF107" s="5"/>
      <c r="AG107" s="6"/>
      <c r="AH107" s="5"/>
      <c r="AI107" s="6"/>
      <c r="AJ107" s="5"/>
      <c r="AK107" s="11"/>
      <c r="AL107" s="10">
        <v>361.05</v>
      </c>
      <c r="AM107" s="11"/>
      <c r="AN107" s="10"/>
      <c r="AO107" s="11"/>
      <c r="AP107" s="10"/>
      <c r="AQ107" s="33"/>
      <c r="AR107" s="34"/>
      <c r="AS107" s="33"/>
      <c r="AT107" s="34"/>
      <c r="AU107" s="33"/>
      <c r="AV107" s="34"/>
      <c r="AW107" s="33" t="s">
        <v>270</v>
      </c>
      <c r="AX107" s="33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>
        <f t="shared" si="5"/>
        <v>361.05</v>
      </c>
      <c r="BK107" s="8"/>
      <c r="BL107" s="4" t="s">
        <v>252</v>
      </c>
      <c r="BM107" s="59" t="s">
        <v>314</v>
      </c>
      <c r="BN107" t="s">
        <v>341</v>
      </c>
    </row>
    <row r="108" spans="1:66" ht="15">
      <c r="A108" s="2">
        <f t="shared" si="0"/>
        <v>106</v>
      </c>
      <c r="B108" s="4" t="s">
        <v>130</v>
      </c>
      <c r="C108" s="9"/>
      <c r="D108" s="8"/>
      <c r="E108" s="9"/>
      <c r="F108" s="8"/>
      <c r="G108" s="9"/>
      <c r="H108" s="8"/>
      <c r="I108" s="9"/>
      <c r="J108" s="8"/>
      <c r="K108" s="9"/>
      <c r="L108" s="8"/>
      <c r="M108" s="9"/>
      <c r="N108" s="8"/>
      <c r="O108" s="9"/>
      <c r="P108" s="8"/>
      <c r="Q108" s="9"/>
      <c r="R108" s="9"/>
      <c r="S108" s="8"/>
      <c r="T108" s="9"/>
      <c r="U108" s="8"/>
      <c r="V108" s="9"/>
      <c r="W108" s="8"/>
      <c r="X108" s="9"/>
      <c r="Y108" s="8"/>
      <c r="Z108" s="9"/>
      <c r="AA108" s="8"/>
      <c r="AB108" s="9"/>
      <c r="AC108" s="8"/>
      <c r="AD108" s="9"/>
      <c r="AE108" s="8"/>
      <c r="AF108" s="9"/>
      <c r="AG108" s="8"/>
      <c r="AH108" s="9"/>
      <c r="AI108" s="8"/>
      <c r="AJ108" s="9"/>
      <c r="AK108" s="8"/>
      <c r="AL108" s="9"/>
      <c r="AM108" s="8"/>
      <c r="AN108" s="9"/>
      <c r="AO108" s="8"/>
      <c r="AP108" s="9"/>
      <c r="AQ108" s="8"/>
      <c r="AR108" s="9"/>
      <c r="AS108" s="8"/>
      <c r="AT108" s="9"/>
      <c r="AU108" s="8"/>
      <c r="AV108" s="9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>
        <f t="shared" si="5"/>
        <v>0</v>
      </c>
      <c r="BK108" s="8"/>
      <c r="BL108" s="4" t="s">
        <v>130</v>
      </c>
      <c r="BM108" s="58" t="s">
        <v>313</v>
      </c>
      <c r="BN108" t="s">
        <v>342</v>
      </c>
    </row>
    <row r="109" spans="1:66" ht="15">
      <c r="A109" s="2">
        <f t="shared" si="0"/>
        <v>107</v>
      </c>
      <c r="B109" s="4" t="s">
        <v>131</v>
      </c>
      <c r="C109" s="5"/>
      <c r="D109" s="6"/>
      <c r="E109" s="5"/>
      <c r="F109" s="6"/>
      <c r="G109" s="5"/>
      <c r="H109" s="6"/>
      <c r="I109" s="5"/>
      <c r="J109" s="6"/>
      <c r="K109" s="5"/>
      <c r="L109" s="6"/>
      <c r="M109" s="5"/>
      <c r="N109" s="6"/>
      <c r="O109" s="5"/>
      <c r="P109" s="6"/>
      <c r="Q109" s="5"/>
      <c r="R109" s="5">
        <v>101.07</v>
      </c>
      <c r="S109" s="6"/>
      <c r="T109" s="5"/>
      <c r="U109" s="6"/>
      <c r="V109" s="5"/>
      <c r="W109" s="6"/>
      <c r="X109" s="5"/>
      <c r="Y109" s="6"/>
      <c r="Z109" s="5">
        <v>101.07</v>
      </c>
      <c r="AA109" s="6"/>
      <c r="AB109" s="5"/>
      <c r="AC109" s="6"/>
      <c r="AD109" s="5"/>
      <c r="AE109" s="6"/>
      <c r="AF109" s="5">
        <v>101.07</v>
      </c>
      <c r="AG109" s="40"/>
      <c r="AH109" s="41"/>
      <c r="AI109" s="40"/>
      <c r="AJ109" s="41"/>
      <c r="AK109" s="40"/>
      <c r="AL109" s="41"/>
      <c r="AM109" s="40"/>
      <c r="AN109" s="41"/>
      <c r="AO109" s="40"/>
      <c r="AP109" s="34">
        <v>81.069999999999993</v>
      </c>
      <c r="AQ109" s="33" t="s">
        <v>237</v>
      </c>
      <c r="AR109" s="34"/>
      <c r="AS109" s="33"/>
      <c r="AT109" s="34">
        <v>81.069999999999993</v>
      </c>
      <c r="AU109" s="33"/>
      <c r="AV109" s="75"/>
      <c r="AW109" s="64">
        <v>121.07</v>
      </c>
      <c r="AX109" s="64"/>
      <c r="AY109" s="64"/>
      <c r="AZ109" s="64">
        <v>121.07</v>
      </c>
      <c r="BA109" s="64"/>
      <c r="BB109" s="8"/>
      <c r="BC109" s="8"/>
      <c r="BD109" s="8"/>
      <c r="BE109" s="8"/>
      <c r="BF109" s="8"/>
      <c r="BG109" s="8"/>
      <c r="BH109" s="8"/>
      <c r="BI109" s="8"/>
      <c r="BJ109" s="8">
        <f t="shared" si="5"/>
        <v>586.41999999999996</v>
      </c>
      <c r="BK109" s="8"/>
      <c r="BL109" s="4" t="s">
        <v>131</v>
      </c>
      <c r="BM109" s="59" t="s">
        <v>314</v>
      </c>
      <c r="BN109" t="s">
        <v>343</v>
      </c>
    </row>
    <row r="110" spans="1:66" ht="15">
      <c r="A110" s="2">
        <f t="shared" si="0"/>
        <v>108</v>
      </c>
      <c r="B110" s="4" t="s">
        <v>132</v>
      </c>
      <c r="C110" s="5"/>
      <c r="D110" s="6"/>
      <c r="E110" s="5"/>
      <c r="F110" s="6"/>
      <c r="G110" s="5"/>
      <c r="H110" s="6"/>
      <c r="I110" s="5"/>
      <c r="J110" s="6"/>
      <c r="K110" s="5"/>
      <c r="L110" s="6"/>
      <c r="M110" s="5"/>
      <c r="N110" s="6"/>
      <c r="O110" s="5"/>
      <c r="P110" s="6"/>
      <c r="Q110" s="5"/>
      <c r="R110" s="5"/>
      <c r="S110" s="6"/>
      <c r="T110" s="5"/>
      <c r="U110" s="6"/>
      <c r="V110" s="5"/>
      <c r="W110" s="6"/>
      <c r="X110" s="5"/>
      <c r="Y110" s="11"/>
      <c r="Z110" s="10"/>
      <c r="AA110" s="11"/>
      <c r="AB110" s="10">
        <v>300</v>
      </c>
      <c r="AC110" s="11"/>
      <c r="AD110" s="10"/>
      <c r="AE110" s="11"/>
      <c r="AF110" s="10"/>
      <c r="AG110" s="11"/>
      <c r="AH110" s="10"/>
      <c r="AI110" s="11"/>
      <c r="AJ110" s="10"/>
      <c r="AK110" s="11"/>
      <c r="AL110" s="10"/>
      <c r="AM110" s="11"/>
      <c r="AN110" s="10"/>
      <c r="AO110" s="11"/>
      <c r="AP110" s="10"/>
      <c r="AQ110" s="11"/>
      <c r="AR110" s="10"/>
      <c r="AS110" s="11"/>
      <c r="AT110" s="10"/>
      <c r="AU110" s="33"/>
      <c r="AV110" s="34"/>
      <c r="AW110" s="33">
        <v>481.08</v>
      </c>
      <c r="AX110" s="33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>
        <f t="shared" si="5"/>
        <v>781.07999999999993</v>
      </c>
      <c r="BK110" s="8"/>
      <c r="BL110" s="4" t="s">
        <v>132</v>
      </c>
      <c r="BM110" s="59" t="s">
        <v>314</v>
      </c>
      <c r="BN110" t="s">
        <v>341</v>
      </c>
    </row>
    <row r="111" spans="1:66" ht="15">
      <c r="A111" s="2">
        <f t="shared" si="0"/>
        <v>109</v>
      </c>
      <c r="B111" s="4" t="s">
        <v>261</v>
      </c>
      <c r="C111" s="5"/>
      <c r="D111" s="6"/>
      <c r="E111" s="5"/>
      <c r="F111" s="6"/>
      <c r="G111" s="5"/>
      <c r="H111" s="6"/>
      <c r="I111" s="5"/>
      <c r="J111" s="6"/>
      <c r="K111" s="5"/>
      <c r="L111" s="6"/>
      <c r="M111" s="5"/>
      <c r="N111" s="6"/>
      <c r="O111" s="5"/>
      <c r="P111" s="6"/>
      <c r="Q111" s="5"/>
      <c r="R111" s="5"/>
      <c r="S111" s="6"/>
      <c r="T111" s="5"/>
      <c r="U111" s="6"/>
      <c r="V111" s="5"/>
      <c r="W111" s="6"/>
      <c r="X111" s="5"/>
      <c r="Y111" s="11"/>
      <c r="Z111" s="10"/>
      <c r="AA111" s="11"/>
      <c r="AB111" s="10"/>
      <c r="AC111" s="11"/>
      <c r="AD111" s="10"/>
      <c r="AE111" s="11"/>
      <c r="AF111" s="10"/>
      <c r="AG111" s="11"/>
      <c r="AH111" s="10">
        <v>201.09</v>
      </c>
      <c r="AI111" s="11"/>
      <c r="AJ111" s="10"/>
      <c r="AK111" s="11"/>
      <c r="AL111" s="10"/>
      <c r="AM111" s="11"/>
      <c r="AN111" s="10"/>
      <c r="AO111" s="33"/>
      <c r="AP111" s="34"/>
      <c r="AQ111" s="33"/>
      <c r="AR111" s="34">
        <v>160</v>
      </c>
      <c r="AS111" s="33"/>
      <c r="AT111" s="34"/>
      <c r="AU111" s="33"/>
      <c r="AV111" s="34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>
        <f t="shared" si="5"/>
        <v>361.09000000000003</v>
      </c>
      <c r="BK111" s="8"/>
      <c r="BL111" s="4" t="s">
        <v>261</v>
      </c>
      <c r="BM111" s="58" t="s">
        <v>313</v>
      </c>
      <c r="BN111" t="s">
        <v>344</v>
      </c>
    </row>
    <row r="112" spans="1:66" ht="15">
      <c r="A112" s="2">
        <f t="shared" si="0"/>
        <v>110</v>
      </c>
      <c r="B112" s="4" t="s">
        <v>133</v>
      </c>
      <c r="C112" s="5">
        <v>26.5</v>
      </c>
      <c r="D112" s="6"/>
      <c r="E112" s="5">
        <v>26.1</v>
      </c>
      <c r="F112" s="6"/>
      <c r="G112" s="5">
        <v>26.1</v>
      </c>
      <c r="H112" s="6"/>
      <c r="I112" s="5"/>
      <c r="J112" s="6"/>
      <c r="K112" s="5"/>
      <c r="L112" s="6"/>
      <c r="M112" s="5">
        <v>26.1</v>
      </c>
      <c r="N112" s="6"/>
      <c r="O112" s="5">
        <v>26.1</v>
      </c>
      <c r="P112" s="6"/>
      <c r="Q112" s="5">
        <v>26.1</v>
      </c>
      <c r="R112" s="5">
        <v>26.1</v>
      </c>
      <c r="S112" s="6"/>
      <c r="T112" s="5">
        <v>26.1</v>
      </c>
      <c r="U112" s="6"/>
      <c r="V112" s="5">
        <v>26.1</v>
      </c>
      <c r="W112" s="6"/>
      <c r="X112" s="5">
        <v>26.1</v>
      </c>
      <c r="Y112" s="6"/>
      <c r="Z112" s="5">
        <v>26.1</v>
      </c>
      <c r="AA112" s="6"/>
      <c r="AB112" s="5">
        <v>26.1</v>
      </c>
      <c r="AC112" s="6"/>
      <c r="AD112" s="5">
        <v>26.1</v>
      </c>
      <c r="AE112" s="6"/>
      <c r="AF112" s="5">
        <v>26.1</v>
      </c>
      <c r="AG112" s="6"/>
      <c r="AH112" s="5">
        <v>26.1</v>
      </c>
      <c r="AI112" s="11"/>
      <c r="AJ112" s="10">
        <v>26.1</v>
      </c>
      <c r="AK112" s="11"/>
      <c r="AL112" s="10">
        <v>26.1</v>
      </c>
      <c r="AM112" s="33"/>
      <c r="AN112" s="34">
        <v>26.1</v>
      </c>
      <c r="AO112" s="33"/>
      <c r="AP112" s="34">
        <v>40</v>
      </c>
      <c r="AQ112" s="33"/>
      <c r="AR112" s="34">
        <v>40.01</v>
      </c>
      <c r="AS112" s="33"/>
      <c r="AT112" s="34">
        <v>40</v>
      </c>
      <c r="AU112" s="33"/>
      <c r="AV112" s="34">
        <v>40</v>
      </c>
      <c r="AW112" s="64">
        <v>40</v>
      </c>
      <c r="AX112" s="64">
        <v>41.5</v>
      </c>
      <c r="AY112" s="64">
        <v>41.1</v>
      </c>
      <c r="AZ112" s="64">
        <v>41.1</v>
      </c>
      <c r="BA112" s="64">
        <v>41.1</v>
      </c>
      <c r="BB112" s="8"/>
      <c r="BC112" s="8"/>
      <c r="BD112" s="8"/>
      <c r="BE112" s="8"/>
      <c r="BF112" s="8"/>
      <c r="BG112" s="8"/>
      <c r="BH112" s="8"/>
      <c r="BI112" s="8"/>
      <c r="BJ112" s="8">
        <f>SUM(C112:BA112)</f>
        <v>835.01000000000022</v>
      </c>
      <c r="BK112" s="8"/>
      <c r="BL112" s="4" t="s">
        <v>133</v>
      </c>
      <c r="BM112" s="59" t="s">
        <v>314</v>
      </c>
      <c r="BN112" t="s">
        <v>345</v>
      </c>
    </row>
    <row r="113" spans="1:66" ht="15">
      <c r="A113" s="2">
        <f t="shared" si="0"/>
        <v>111</v>
      </c>
      <c r="B113" s="4" t="s">
        <v>134</v>
      </c>
      <c r="C113" s="9"/>
      <c r="D113" s="8"/>
      <c r="E113" s="9"/>
      <c r="F113" s="8"/>
      <c r="G113" s="9"/>
      <c r="H113" s="8"/>
      <c r="I113" s="9"/>
      <c r="J113" s="8"/>
      <c r="K113" s="9"/>
      <c r="L113" s="8"/>
      <c r="M113" s="9"/>
      <c r="N113" s="8"/>
      <c r="O113" s="9"/>
      <c r="P113" s="8"/>
      <c r="Q113" s="9"/>
      <c r="R113" s="9"/>
      <c r="S113" s="8"/>
      <c r="T113" s="9"/>
      <c r="U113" s="8"/>
      <c r="V113" s="9"/>
      <c r="W113" s="8"/>
      <c r="X113" s="9"/>
      <c r="Y113" s="8"/>
      <c r="Z113" s="9"/>
      <c r="AA113" s="8"/>
      <c r="AB113" s="9"/>
      <c r="AC113" s="8"/>
      <c r="AD113" s="9"/>
      <c r="AE113" s="8"/>
      <c r="AF113" s="9"/>
      <c r="AG113" s="8"/>
      <c r="AH113" s="9"/>
      <c r="AI113" s="8"/>
      <c r="AJ113" s="9"/>
      <c r="AK113" s="8"/>
      <c r="AL113" s="9"/>
      <c r="AM113" s="8"/>
      <c r="AN113" s="9"/>
      <c r="AO113" s="8"/>
      <c r="AP113" s="9">
        <v>361.11</v>
      </c>
      <c r="AQ113" s="8" t="s">
        <v>234</v>
      </c>
      <c r="AR113" s="9"/>
      <c r="AS113" s="8"/>
      <c r="AT113" s="9"/>
      <c r="AU113" s="8"/>
      <c r="AV113" s="9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>
        <f t="shared" si="5"/>
        <v>361.11</v>
      </c>
      <c r="BK113" s="8"/>
      <c r="BL113" s="4" t="s">
        <v>134</v>
      </c>
      <c r="BM113" s="58" t="s">
        <v>313</v>
      </c>
      <c r="BN113" t="s">
        <v>346</v>
      </c>
    </row>
    <row r="114" spans="1:66" ht="15">
      <c r="A114" s="2">
        <f t="shared" si="0"/>
        <v>112</v>
      </c>
      <c r="B114" s="4" t="s">
        <v>135</v>
      </c>
      <c r="C114" s="5">
        <v>301.12</v>
      </c>
      <c r="D114" s="6"/>
      <c r="E114" s="5">
        <v>26.12</v>
      </c>
      <c r="F114" s="6"/>
      <c r="G114" s="5">
        <v>26.12</v>
      </c>
      <c r="H114" s="6"/>
      <c r="I114" s="5">
        <v>26.12</v>
      </c>
      <c r="J114" s="6"/>
      <c r="K114" s="5">
        <v>26.12</v>
      </c>
      <c r="L114" s="6"/>
      <c r="M114" s="5">
        <v>26.12</v>
      </c>
      <c r="N114" s="6">
        <v>26.12</v>
      </c>
      <c r="O114" s="5">
        <v>26.12</v>
      </c>
      <c r="P114" s="6"/>
      <c r="Q114" s="5"/>
      <c r="R114" s="5">
        <v>52.24</v>
      </c>
      <c r="S114" s="6"/>
      <c r="T114" s="5">
        <v>26.12</v>
      </c>
      <c r="U114" s="6"/>
      <c r="V114" s="5">
        <v>26.12</v>
      </c>
      <c r="W114" s="6"/>
      <c r="X114" s="5">
        <v>26.12</v>
      </c>
      <c r="Y114" s="6"/>
      <c r="Z114" s="5">
        <v>26.12</v>
      </c>
      <c r="AA114" s="6"/>
      <c r="AB114" s="5">
        <v>26.12</v>
      </c>
      <c r="AC114" s="6"/>
      <c r="AD114" s="5">
        <v>26.12</v>
      </c>
      <c r="AE114" s="11"/>
      <c r="AF114" s="10">
        <v>26.12</v>
      </c>
      <c r="AG114" s="11"/>
      <c r="AH114" s="10">
        <v>26.12</v>
      </c>
      <c r="AI114" s="11"/>
      <c r="AJ114" s="10">
        <v>26.12</v>
      </c>
      <c r="AK114" s="11"/>
      <c r="AL114" s="10">
        <v>26.12</v>
      </c>
      <c r="AM114" s="33"/>
      <c r="AN114" s="34">
        <v>26.12</v>
      </c>
      <c r="AO114" s="33"/>
      <c r="AP114" s="34">
        <v>26.12</v>
      </c>
      <c r="AQ114" s="33"/>
      <c r="AR114" s="34">
        <v>26.12</v>
      </c>
      <c r="AS114" s="8"/>
      <c r="AT114" s="9"/>
      <c r="AU114" s="8"/>
      <c r="AV114" s="9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>
        <f t="shared" si="5"/>
        <v>875.7600000000001</v>
      </c>
      <c r="BK114" s="8"/>
      <c r="BL114" s="4" t="s">
        <v>135</v>
      </c>
      <c r="BM114" s="58" t="s">
        <v>313</v>
      </c>
      <c r="BN114" t="s">
        <v>347</v>
      </c>
    </row>
    <row r="115" spans="1:66" ht="15">
      <c r="A115" s="2">
        <f t="shared" si="0"/>
        <v>113</v>
      </c>
      <c r="B115" s="4" t="s">
        <v>136</v>
      </c>
      <c r="C115" s="34"/>
      <c r="D115" s="33"/>
      <c r="E115" s="34"/>
      <c r="F115" s="33"/>
      <c r="G115" s="34"/>
      <c r="H115" s="33"/>
      <c r="I115" s="34"/>
      <c r="J115" s="33"/>
      <c r="K115" s="34"/>
      <c r="L115" s="33"/>
      <c r="M115" s="34"/>
      <c r="N115" s="33"/>
      <c r="O115" s="34"/>
      <c r="P115" s="33"/>
      <c r="Q115" s="34"/>
      <c r="R115" s="34"/>
      <c r="S115" s="8"/>
      <c r="T115" s="9"/>
      <c r="U115" s="8"/>
      <c r="V115" s="9"/>
      <c r="W115" s="8"/>
      <c r="X115" s="9"/>
      <c r="Y115" s="8"/>
      <c r="Z115" s="9"/>
      <c r="AA115" s="8"/>
      <c r="AB115" s="9"/>
      <c r="AC115" s="8"/>
      <c r="AD115" s="9"/>
      <c r="AE115" s="8"/>
      <c r="AF115" s="9"/>
      <c r="AG115" s="8"/>
      <c r="AH115" s="9"/>
      <c r="AI115" s="8"/>
      <c r="AJ115" s="9"/>
      <c r="AK115" s="8"/>
      <c r="AL115" s="9"/>
      <c r="AM115" s="8"/>
      <c r="AN115" s="9"/>
      <c r="AO115" s="8"/>
      <c r="AP115" s="9">
        <v>226</v>
      </c>
      <c r="AQ115" s="8"/>
      <c r="AR115" s="9"/>
      <c r="AS115" s="8"/>
      <c r="AT115" s="9"/>
      <c r="AU115" s="8"/>
      <c r="AV115" s="9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>
        <f t="shared" si="5"/>
        <v>226</v>
      </c>
      <c r="BK115" s="8"/>
      <c r="BL115" s="4" t="s">
        <v>136</v>
      </c>
      <c r="BM115" s="58" t="s">
        <v>313</v>
      </c>
      <c r="BN115" t="s">
        <v>348</v>
      </c>
    </row>
    <row r="116" spans="1:66" ht="15">
      <c r="A116" s="2">
        <f t="shared" si="0"/>
        <v>114</v>
      </c>
      <c r="B116" s="4" t="s">
        <v>137</v>
      </c>
      <c r="C116" s="5"/>
      <c r="D116" s="6"/>
      <c r="E116" s="5">
        <v>151.13999999999999</v>
      </c>
      <c r="F116" s="6"/>
      <c r="G116" s="5"/>
      <c r="H116" s="6"/>
      <c r="I116" s="5"/>
      <c r="J116" s="6"/>
      <c r="K116" s="5"/>
      <c r="L116" s="6"/>
      <c r="M116" s="5"/>
      <c r="N116" s="6"/>
      <c r="O116" s="5">
        <v>151.13999999999999</v>
      </c>
      <c r="P116" s="6"/>
      <c r="Q116" s="5"/>
      <c r="R116" s="5"/>
      <c r="S116" s="6"/>
      <c r="T116" s="5"/>
      <c r="U116" s="6"/>
      <c r="V116" s="5"/>
      <c r="W116" s="6"/>
      <c r="X116" s="5"/>
      <c r="Y116" s="11"/>
      <c r="Z116" s="10"/>
      <c r="AA116" s="11"/>
      <c r="AB116" s="10"/>
      <c r="AC116" s="11"/>
      <c r="AD116" s="10">
        <v>151.13999999999999</v>
      </c>
      <c r="AE116" s="11"/>
      <c r="AF116" s="10"/>
      <c r="AG116" s="11"/>
      <c r="AH116" s="10"/>
      <c r="AI116" s="11"/>
      <c r="AJ116" s="10"/>
      <c r="AK116" s="33"/>
      <c r="AL116" s="34"/>
      <c r="AM116" s="33"/>
      <c r="AN116" s="34">
        <v>51.14</v>
      </c>
      <c r="AO116" s="33"/>
      <c r="AP116" s="34"/>
      <c r="AQ116" s="33"/>
      <c r="AR116" s="34">
        <v>81.14</v>
      </c>
      <c r="AS116" s="51"/>
      <c r="AT116" s="52">
        <v>81.14</v>
      </c>
      <c r="AU116" s="33"/>
      <c r="AV116" s="34"/>
      <c r="AW116" s="64"/>
      <c r="AX116" s="64"/>
      <c r="AY116" s="64">
        <v>121.14</v>
      </c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>
        <f t="shared" si="5"/>
        <v>666.83999999999992</v>
      </c>
      <c r="BK116" s="8"/>
      <c r="BL116" s="4" t="s">
        <v>137</v>
      </c>
      <c r="BM116" s="59" t="s">
        <v>314</v>
      </c>
      <c r="BN116" s="45" t="s">
        <v>335</v>
      </c>
    </row>
    <row r="117" spans="1:66" ht="15">
      <c r="A117" s="2">
        <f t="shared" si="0"/>
        <v>115</v>
      </c>
      <c r="B117" s="4" t="s">
        <v>138</v>
      </c>
      <c r="C117" s="5"/>
      <c r="D117" s="6"/>
      <c r="E117" s="5"/>
      <c r="F117" s="6"/>
      <c r="G117" s="5"/>
      <c r="H117" s="8"/>
      <c r="I117" s="9"/>
      <c r="J117" s="8"/>
      <c r="K117" s="9"/>
      <c r="L117" s="8"/>
      <c r="M117" s="9"/>
      <c r="N117" s="8"/>
      <c r="O117" s="9"/>
      <c r="P117" s="8"/>
      <c r="Q117" s="9"/>
      <c r="R117" s="9"/>
      <c r="S117" s="8"/>
      <c r="T117" s="9"/>
      <c r="U117" s="8"/>
      <c r="V117" s="9"/>
      <c r="W117" s="8"/>
      <c r="X117" s="9"/>
      <c r="Y117" s="8"/>
      <c r="Z117" s="9"/>
      <c r="AA117" s="8"/>
      <c r="AB117" s="9"/>
      <c r="AC117" s="8"/>
      <c r="AD117" s="9"/>
      <c r="AE117" s="8"/>
      <c r="AF117" s="9"/>
      <c r="AG117" s="8"/>
      <c r="AH117" s="9"/>
      <c r="AI117" s="8"/>
      <c r="AJ117" s="9"/>
      <c r="AK117" s="8"/>
      <c r="AL117" s="9"/>
      <c r="AM117" s="8"/>
      <c r="AN117" s="9"/>
      <c r="AO117" s="8"/>
      <c r="AP117" s="9"/>
      <c r="AQ117" s="8"/>
      <c r="AR117" s="9">
        <v>66.150000000000006</v>
      </c>
      <c r="AS117" s="8"/>
      <c r="AT117" s="9"/>
      <c r="AU117" s="8"/>
      <c r="AV117" s="9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>
        <f t="shared" si="5"/>
        <v>66.150000000000006</v>
      </c>
      <c r="BK117" s="8"/>
      <c r="BL117" s="4" t="s">
        <v>138</v>
      </c>
      <c r="BM117" s="58" t="s">
        <v>313</v>
      </c>
      <c r="BN117" s="45" t="s">
        <v>349</v>
      </c>
    </row>
    <row r="118" spans="1:66" ht="15">
      <c r="A118" s="2">
        <f t="shared" si="0"/>
        <v>116</v>
      </c>
      <c r="B118" s="4" t="s">
        <v>139</v>
      </c>
      <c r="C118" s="5"/>
      <c r="D118" s="6"/>
      <c r="E118" s="5"/>
      <c r="F118" s="6"/>
      <c r="G118" s="5"/>
      <c r="H118" s="8"/>
      <c r="I118" s="9"/>
      <c r="J118" s="8"/>
      <c r="K118" s="9"/>
      <c r="L118" s="8"/>
      <c r="M118" s="9"/>
      <c r="N118" s="8"/>
      <c r="O118" s="9"/>
      <c r="P118" s="8"/>
      <c r="Q118" s="9"/>
      <c r="R118" s="9"/>
      <c r="S118" s="8"/>
      <c r="T118" s="9"/>
      <c r="U118" s="8"/>
      <c r="V118" s="9"/>
      <c r="W118" s="8"/>
      <c r="X118" s="9"/>
      <c r="Y118" s="8"/>
      <c r="Z118" s="9"/>
      <c r="AA118" s="8"/>
      <c r="AB118" s="9"/>
      <c r="AC118" s="8"/>
      <c r="AD118" s="9"/>
      <c r="AE118" s="8"/>
      <c r="AF118" s="9"/>
      <c r="AG118" s="8"/>
      <c r="AH118" s="9"/>
      <c r="AI118" s="8"/>
      <c r="AJ118" s="9"/>
      <c r="AK118" s="8"/>
      <c r="AL118" s="9"/>
      <c r="AM118" s="8"/>
      <c r="AN118" s="9"/>
      <c r="AO118" s="8"/>
      <c r="AP118" s="9"/>
      <c r="AQ118" s="8"/>
      <c r="AR118" s="9"/>
      <c r="AS118" s="8"/>
      <c r="AT118" s="9"/>
      <c r="AU118" s="8"/>
      <c r="AV118" s="9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>
        <f t="shared" si="5"/>
        <v>0</v>
      </c>
      <c r="BK118" s="8"/>
      <c r="BL118" s="4" t="s">
        <v>139</v>
      </c>
      <c r="BM118" s="58" t="s">
        <v>313</v>
      </c>
      <c r="BN118" s="45" t="s">
        <v>350</v>
      </c>
    </row>
    <row r="119" spans="1:66" ht="15">
      <c r="A119" s="2">
        <f t="shared" si="0"/>
        <v>117</v>
      </c>
      <c r="B119" s="4" t="s">
        <v>140</v>
      </c>
      <c r="C119" s="5">
        <v>156.16999999999999</v>
      </c>
      <c r="D119" s="6"/>
      <c r="E119" s="5"/>
      <c r="F119" s="6"/>
      <c r="G119" s="5"/>
      <c r="H119" s="6"/>
      <c r="I119" s="5"/>
      <c r="J119" s="6"/>
      <c r="K119" s="5"/>
      <c r="L119" s="6"/>
      <c r="M119" s="5"/>
      <c r="N119" s="8"/>
      <c r="O119" s="9"/>
      <c r="P119" s="8"/>
      <c r="Q119" s="9"/>
      <c r="R119" s="9"/>
      <c r="S119" s="8"/>
      <c r="T119" s="9"/>
      <c r="U119" s="8"/>
      <c r="V119" s="9"/>
      <c r="W119" s="8"/>
      <c r="X119" s="9"/>
      <c r="Y119" s="8"/>
      <c r="Z119" s="9"/>
      <c r="AA119" s="8"/>
      <c r="AB119" s="9"/>
      <c r="AC119" s="8"/>
      <c r="AD119" s="9"/>
      <c r="AE119" s="8"/>
      <c r="AF119" s="9"/>
      <c r="AG119" s="8"/>
      <c r="AH119" s="9"/>
      <c r="AI119" s="8"/>
      <c r="AJ119" s="9"/>
      <c r="AK119" s="8"/>
      <c r="AL119" s="9"/>
      <c r="AM119" s="8"/>
      <c r="AN119" s="9"/>
      <c r="AO119" s="8"/>
      <c r="AP119" s="9"/>
      <c r="AQ119" s="8"/>
      <c r="AR119" s="9"/>
      <c r="AS119" s="8"/>
      <c r="AT119" s="9"/>
      <c r="AU119" s="8"/>
      <c r="AV119" s="9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>
        <f t="shared" si="5"/>
        <v>156.16999999999999</v>
      </c>
      <c r="BK119" s="8"/>
      <c r="BL119" s="4" t="s">
        <v>140</v>
      </c>
      <c r="BM119" s="58" t="s">
        <v>313</v>
      </c>
      <c r="BN119" s="45" t="s">
        <v>351</v>
      </c>
    </row>
    <row r="120" spans="1:66" ht="15">
      <c r="A120" s="2">
        <f t="shared" si="0"/>
        <v>118</v>
      </c>
      <c r="B120" s="4" t="s">
        <v>141</v>
      </c>
      <c r="C120" s="5">
        <v>151.18</v>
      </c>
      <c r="D120" s="6"/>
      <c r="E120" s="5"/>
      <c r="F120" s="6"/>
      <c r="G120" s="5"/>
      <c r="H120" s="6"/>
      <c r="I120" s="5"/>
      <c r="J120" s="6"/>
      <c r="K120" s="5"/>
      <c r="L120" s="6"/>
      <c r="M120" s="5"/>
      <c r="N120" s="8"/>
      <c r="O120" s="9"/>
      <c r="P120" s="8"/>
      <c r="Q120" s="9"/>
      <c r="R120" s="9"/>
      <c r="S120" s="8"/>
      <c r="T120" s="9"/>
      <c r="U120" s="8"/>
      <c r="V120" s="9"/>
      <c r="W120" s="8"/>
      <c r="X120" s="9"/>
      <c r="Y120" s="8"/>
      <c r="Z120" s="9"/>
      <c r="AA120" s="8"/>
      <c r="AB120" s="9"/>
      <c r="AC120" s="8"/>
      <c r="AD120" s="9"/>
      <c r="AE120" s="8"/>
      <c r="AF120" s="9"/>
      <c r="AG120" s="8"/>
      <c r="AH120" s="9"/>
      <c r="AI120" s="8"/>
      <c r="AJ120" s="9"/>
      <c r="AK120" s="8"/>
      <c r="AL120" s="9"/>
      <c r="AM120" s="8"/>
      <c r="AN120" s="9"/>
      <c r="AO120" s="8"/>
      <c r="AP120" s="9"/>
      <c r="AQ120" s="8"/>
      <c r="AR120" s="9"/>
      <c r="AS120" s="8"/>
      <c r="AT120" s="9"/>
      <c r="AU120" s="8"/>
      <c r="AV120" s="9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>
        <f t="shared" si="5"/>
        <v>151.18</v>
      </c>
      <c r="BK120" s="8"/>
      <c r="BL120" s="4" t="s">
        <v>141</v>
      </c>
      <c r="BM120" s="58" t="s">
        <v>313</v>
      </c>
      <c r="BN120" s="45" t="s">
        <v>351</v>
      </c>
    </row>
    <row r="121" spans="1:66" ht="15">
      <c r="A121" s="2">
        <f t="shared" si="0"/>
        <v>119</v>
      </c>
      <c r="B121" s="37" t="s">
        <v>223</v>
      </c>
      <c r="C121" s="5">
        <v>151.19</v>
      </c>
      <c r="D121" s="6"/>
      <c r="E121" s="5"/>
      <c r="F121" s="6"/>
      <c r="G121" s="5"/>
      <c r="H121" s="6"/>
      <c r="I121" s="5"/>
      <c r="J121" s="6"/>
      <c r="K121" s="5"/>
      <c r="L121" s="6"/>
      <c r="M121" s="5"/>
      <c r="N121" s="8"/>
      <c r="O121" s="9"/>
      <c r="P121" s="8"/>
      <c r="Q121" s="9"/>
      <c r="R121" s="9"/>
      <c r="S121" s="8"/>
      <c r="T121" s="9"/>
      <c r="U121" s="8"/>
      <c r="V121" s="9"/>
      <c r="W121" s="8"/>
      <c r="X121" s="9"/>
      <c r="Y121" s="6"/>
      <c r="Z121" s="5">
        <v>151.19</v>
      </c>
      <c r="AA121" s="6"/>
      <c r="AB121" s="5"/>
      <c r="AC121" s="6"/>
      <c r="AD121" s="5"/>
      <c r="AE121" s="6"/>
      <c r="AF121" s="5"/>
      <c r="AG121" s="6"/>
      <c r="AH121" s="5"/>
      <c r="AI121" s="6"/>
      <c r="AJ121" s="5"/>
      <c r="AK121" s="33"/>
      <c r="AL121" s="34"/>
      <c r="AM121" s="33"/>
      <c r="AN121" s="34">
        <v>210</v>
      </c>
      <c r="AO121" s="33"/>
      <c r="AP121" s="34"/>
      <c r="AQ121" s="33"/>
      <c r="AR121" s="34"/>
      <c r="AS121" s="33"/>
      <c r="AT121" s="34"/>
      <c r="AU121" s="33"/>
      <c r="AV121" s="34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>
        <f t="shared" si="5"/>
        <v>512.38</v>
      </c>
      <c r="BK121" s="8"/>
      <c r="BL121" s="37" t="s">
        <v>223</v>
      </c>
      <c r="BM121" s="58" t="s">
        <v>313</v>
      </c>
      <c r="BN121" s="45" t="s">
        <v>352</v>
      </c>
    </row>
    <row r="122" spans="1:66" ht="12" customHeight="1">
      <c r="A122" s="2">
        <f t="shared" si="0"/>
        <v>120</v>
      </c>
      <c r="B122" s="4" t="s">
        <v>142</v>
      </c>
      <c r="C122" s="5"/>
      <c r="D122" s="6"/>
      <c r="E122" s="5"/>
      <c r="F122" s="6"/>
      <c r="G122" s="5"/>
      <c r="H122" s="8"/>
      <c r="I122" s="9"/>
      <c r="J122" s="8"/>
      <c r="K122" s="9"/>
      <c r="L122" s="8"/>
      <c r="M122" s="9"/>
      <c r="N122" s="8"/>
      <c r="O122" s="9"/>
      <c r="P122" s="8"/>
      <c r="Q122" s="9"/>
      <c r="R122" s="9"/>
      <c r="S122" s="8"/>
      <c r="T122" s="9"/>
      <c r="U122" s="8"/>
      <c r="V122" s="9"/>
      <c r="W122" s="8"/>
      <c r="X122" s="9"/>
      <c r="Y122" s="8"/>
      <c r="Z122" s="9"/>
      <c r="AA122" s="8"/>
      <c r="AB122" s="9"/>
      <c r="AC122" s="8"/>
      <c r="AD122" s="9"/>
      <c r="AE122" s="8"/>
      <c r="AF122" s="9"/>
      <c r="AG122" s="8"/>
      <c r="AH122" s="9"/>
      <c r="AI122" s="8"/>
      <c r="AJ122" s="9"/>
      <c r="AK122" s="8"/>
      <c r="AL122" s="9"/>
      <c r="AM122" s="8"/>
      <c r="AN122" s="9"/>
      <c r="AO122" s="8"/>
      <c r="AP122" s="9"/>
      <c r="AQ122" s="8"/>
      <c r="AR122" s="9"/>
      <c r="AS122" s="8"/>
      <c r="AT122" s="9"/>
      <c r="AU122" s="8"/>
      <c r="AV122" s="9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>
        <f t="shared" si="5"/>
        <v>0</v>
      </c>
      <c r="BK122" s="8"/>
      <c r="BL122" s="4" t="s">
        <v>142</v>
      </c>
      <c r="BM122" s="58" t="s">
        <v>313</v>
      </c>
      <c r="BN122" s="45" t="s">
        <v>353</v>
      </c>
    </row>
    <row r="123" spans="1:66" ht="15">
      <c r="A123" s="2">
        <f t="shared" si="0"/>
        <v>121</v>
      </c>
      <c r="B123" s="4" t="s">
        <v>143</v>
      </c>
      <c r="C123" s="5">
        <v>151.21</v>
      </c>
      <c r="D123" s="6"/>
      <c r="E123" s="5"/>
      <c r="F123" s="6"/>
      <c r="G123" s="5"/>
      <c r="H123" s="6"/>
      <c r="I123" s="5"/>
      <c r="J123" s="6"/>
      <c r="K123" s="5"/>
      <c r="L123" s="6"/>
      <c r="M123" s="5"/>
      <c r="N123" s="6"/>
      <c r="O123" s="5"/>
      <c r="P123" s="6"/>
      <c r="Q123" s="5"/>
      <c r="R123" s="5"/>
      <c r="S123" s="6"/>
      <c r="T123" s="9" t="s">
        <v>144</v>
      </c>
      <c r="U123" s="6"/>
      <c r="V123" s="9" t="s">
        <v>145</v>
      </c>
      <c r="W123" s="6"/>
      <c r="X123" s="9" t="s">
        <v>146</v>
      </c>
      <c r="Y123" s="6"/>
      <c r="Z123" s="5"/>
      <c r="AA123" s="6"/>
      <c r="AB123" s="5">
        <v>151.21</v>
      </c>
      <c r="AC123" s="6"/>
      <c r="AD123" s="5"/>
      <c r="AE123" s="6"/>
      <c r="AF123" s="10"/>
      <c r="AG123" s="11"/>
      <c r="AH123" s="10"/>
      <c r="AI123" s="11"/>
      <c r="AJ123" s="10">
        <v>150</v>
      </c>
      <c r="AK123" s="11"/>
      <c r="AL123" s="10"/>
      <c r="AM123" s="11"/>
      <c r="AN123" s="10"/>
      <c r="AO123" s="11"/>
      <c r="AP123" s="10">
        <v>61.21</v>
      </c>
      <c r="AQ123" s="33"/>
      <c r="AR123" s="34"/>
      <c r="AS123" s="64"/>
      <c r="AT123" s="75" t="s">
        <v>228</v>
      </c>
      <c r="AU123" s="64"/>
      <c r="AV123" s="75"/>
      <c r="AW123" s="64"/>
      <c r="AX123" s="64"/>
      <c r="AY123" s="64"/>
      <c r="AZ123" s="64">
        <v>315</v>
      </c>
      <c r="BA123" s="64"/>
      <c r="BB123" s="64"/>
      <c r="BC123" s="8"/>
      <c r="BD123" s="8"/>
      <c r="BE123" s="8"/>
      <c r="BF123" s="8"/>
      <c r="BG123" s="8"/>
      <c r="BH123" s="8"/>
      <c r="BI123" s="8"/>
      <c r="BJ123" s="8">
        <f t="shared" si="5"/>
        <v>513.63</v>
      </c>
      <c r="BK123" s="8"/>
      <c r="BL123" s="4" t="s">
        <v>143</v>
      </c>
      <c r="BM123" s="58" t="s">
        <v>313</v>
      </c>
      <c r="BN123" s="45" t="s">
        <v>354</v>
      </c>
    </row>
    <row r="124" spans="1:66" ht="15">
      <c r="A124" s="2">
        <f t="shared" si="0"/>
        <v>122</v>
      </c>
      <c r="B124" s="4" t="s">
        <v>147</v>
      </c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9"/>
      <c r="S124" s="8"/>
      <c r="T124" s="9"/>
      <c r="U124" s="8"/>
      <c r="V124" s="9"/>
      <c r="W124" s="8"/>
      <c r="X124" s="9"/>
      <c r="Y124" s="8"/>
      <c r="Z124" s="9"/>
      <c r="AA124" s="8"/>
      <c r="AB124" s="9"/>
      <c r="AC124" s="8"/>
      <c r="AD124" s="9"/>
      <c r="AE124" s="8"/>
      <c r="AF124" s="9"/>
      <c r="AG124" s="8"/>
      <c r="AH124" s="9"/>
      <c r="AI124" s="8"/>
      <c r="AJ124" s="9"/>
      <c r="AK124" s="8"/>
      <c r="AL124" s="9"/>
      <c r="AM124" s="8"/>
      <c r="AN124" s="9"/>
      <c r="AO124" s="8"/>
      <c r="AP124" s="9"/>
      <c r="AQ124" s="8"/>
      <c r="AR124" s="9"/>
      <c r="AS124" s="8"/>
      <c r="AT124" s="9"/>
      <c r="AU124" s="8"/>
      <c r="AV124" s="9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>
        <f t="shared" si="5"/>
        <v>0</v>
      </c>
      <c r="BK124" s="8"/>
      <c r="BL124" s="4" t="s">
        <v>147</v>
      </c>
      <c r="BM124" s="58" t="s">
        <v>313</v>
      </c>
      <c r="BN124" s="45" t="s">
        <v>355</v>
      </c>
    </row>
    <row r="125" spans="1:66" ht="15">
      <c r="A125" s="2">
        <f t="shared" si="0"/>
        <v>123</v>
      </c>
      <c r="B125" s="4" t="s">
        <v>148</v>
      </c>
      <c r="C125" s="5"/>
      <c r="D125" s="6"/>
      <c r="E125" s="5"/>
      <c r="F125" s="6"/>
      <c r="G125" s="5"/>
      <c r="H125" s="6"/>
      <c r="I125" s="5"/>
      <c r="J125" s="6"/>
      <c r="K125" s="5"/>
      <c r="L125" s="6"/>
      <c r="M125" s="5"/>
      <c r="N125" s="6"/>
      <c r="O125" s="5"/>
      <c r="P125" s="6"/>
      <c r="Q125" s="5"/>
      <c r="R125" s="5"/>
      <c r="S125" s="6"/>
      <c r="T125" s="5"/>
      <c r="U125" s="6"/>
      <c r="V125" s="5"/>
      <c r="W125" s="6"/>
      <c r="X125" s="5"/>
      <c r="Y125" s="6"/>
      <c r="Z125" s="5"/>
      <c r="AA125" s="6"/>
      <c r="AB125" s="5"/>
      <c r="AC125" s="6"/>
      <c r="AD125" s="5"/>
      <c r="AE125" s="6"/>
      <c r="AF125" s="5"/>
      <c r="AG125" s="6"/>
      <c r="AH125" s="5"/>
      <c r="AI125" s="6"/>
      <c r="AJ125" s="5"/>
      <c r="AK125" s="8"/>
      <c r="AL125" s="34"/>
      <c r="AM125" s="33"/>
      <c r="AN125" s="34"/>
      <c r="AO125" s="33"/>
      <c r="AP125" s="34"/>
      <c r="AQ125" s="33"/>
      <c r="AR125" s="34"/>
      <c r="AS125" s="33"/>
      <c r="AT125" s="34"/>
      <c r="AU125" s="33"/>
      <c r="AV125" s="34"/>
      <c r="AW125" s="64">
        <v>211.23</v>
      </c>
      <c r="AX125" s="64"/>
      <c r="AY125" s="64"/>
      <c r="AZ125" s="64"/>
      <c r="BA125" s="64">
        <v>240</v>
      </c>
      <c r="BB125" s="64"/>
      <c r="BC125" s="8"/>
      <c r="BD125" s="8"/>
      <c r="BE125" s="8"/>
      <c r="BF125" s="8"/>
      <c r="BG125" s="8"/>
      <c r="BH125" s="8"/>
      <c r="BI125" s="8"/>
      <c r="BJ125" s="8">
        <f t="shared" si="5"/>
        <v>211.23</v>
      </c>
      <c r="BK125" s="8"/>
      <c r="BL125" s="4" t="s">
        <v>148</v>
      </c>
      <c r="BM125" s="58" t="s">
        <v>313</v>
      </c>
      <c r="BN125" t="s">
        <v>335</v>
      </c>
    </row>
    <row r="126" spans="1:66" ht="15">
      <c r="A126" s="2">
        <f t="shared" si="0"/>
        <v>124</v>
      </c>
      <c r="B126" s="4" t="s">
        <v>149</v>
      </c>
      <c r="C126" s="5"/>
      <c r="D126" s="6"/>
      <c r="E126" s="5"/>
      <c r="F126" s="6"/>
      <c r="G126" s="5"/>
      <c r="H126" s="6"/>
      <c r="I126" s="5"/>
      <c r="J126" s="6"/>
      <c r="K126" s="5"/>
      <c r="L126" s="6"/>
      <c r="M126" s="5"/>
      <c r="N126" s="6"/>
      <c r="O126" s="5">
        <v>100</v>
      </c>
      <c r="P126" s="6"/>
      <c r="Q126" s="5"/>
      <c r="R126" s="5"/>
      <c r="S126" s="11"/>
      <c r="T126" s="10"/>
      <c r="U126" s="11"/>
      <c r="V126" s="10"/>
      <c r="W126" s="11"/>
      <c r="X126" s="10"/>
      <c r="Y126" s="11"/>
      <c r="Z126" s="10"/>
      <c r="AA126" s="11"/>
      <c r="AB126" s="10"/>
      <c r="AC126" s="11"/>
      <c r="AD126" s="10">
        <v>151.24</v>
      </c>
      <c r="AE126" s="33"/>
      <c r="AF126" s="34"/>
      <c r="AG126" s="33"/>
      <c r="AH126" s="34"/>
      <c r="AI126" s="33"/>
      <c r="AJ126" s="34"/>
      <c r="AK126" s="33"/>
      <c r="AL126" s="34"/>
      <c r="AM126" s="33"/>
      <c r="AN126" s="34"/>
      <c r="AO126" s="8"/>
      <c r="AP126" s="9" t="s">
        <v>259</v>
      </c>
      <c r="AQ126" s="8" t="s">
        <v>79</v>
      </c>
      <c r="AR126" s="9"/>
      <c r="AS126" s="8"/>
      <c r="AT126" s="9"/>
      <c r="AU126" s="8"/>
      <c r="AV126" s="9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>
        <f t="shared" si="5"/>
        <v>251.24</v>
      </c>
      <c r="BK126" s="8"/>
      <c r="BL126" s="4" t="s">
        <v>149</v>
      </c>
      <c r="BM126" s="58" t="s">
        <v>313</v>
      </c>
      <c r="BN126" t="s">
        <v>356</v>
      </c>
    </row>
    <row r="127" spans="1:66" ht="15">
      <c r="A127" s="2">
        <f t="shared" si="0"/>
        <v>125</v>
      </c>
      <c r="B127" s="4" t="s">
        <v>150</v>
      </c>
      <c r="C127" s="9"/>
      <c r="D127" s="8"/>
      <c r="E127" s="9"/>
      <c r="F127" s="8"/>
      <c r="G127" s="9"/>
      <c r="H127" s="8"/>
      <c r="I127" s="9"/>
      <c r="J127" s="8"/>
      <c r="K127" s="9"/>
      <c r="L127" s="8"/>
      <c r="M127" s="9"/>
      <c r="N127" s="8"/>
      <c r="O127" s="9"/>
      <c r="P127" s="8"/>
      <c r="Q127" s="9"/>
      <c r="R127" s="9"/>
      <c r="S127" s="8"/>
      <c r="T127" s="9"/>
      <c r="U127" s="8"/>
      <c r="V127" s="9"/>
      <c r="W127" s="8"/>
      <c r="X127" s="9"/>
      <c r="Y127" s="8"/>
      <c r="Z127" s="9"/>
      <c r="AA127" s="8"/>
      <c r="AB127" s="9"/>
      <c r="AC127" s="8"/>
      <c r="AD127" s="9"/>
      <c r="AE127" s="8"/>
      <c r="AF127" s="9"/>
      <c r="AG127" s="8"/>
      <c r="AH127" s="9"/>
      <c r="AI127" s="8"/>
      <c r="AJ127" s="9"/>
      <c r="AK127" s="8"/>
      <c r="AL127" s="9"/>
      <c r="AM127" s="8"/>
      <c r="AN127" s="9"/>
      <c r="AO127" s="8"/>
      <c r="AP127" s="9"/>
      <c r="AQ127" s="8"/>
      <c r="AR127" s="9"/>
      <c r="AS127" s="8"/>
      <c r="AT127" s="9"/>
      <c r="AU127" s="8"/>
      <c r="AV127" s="9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>
        <f t="shared" si="5"/>
        <v>0</v>
      </c>
      <c r="BK127" s="8"/>
      <c r="BL127" s="4" t="s">
        <v>150</v>
      </c>
      <c r="BM127" s="58" t="s">
        <v>313</v>
      </c>
      <c r="BN127" t="s">
        <v>355</v>
      </c>
    </row>
    <row r="128" spans="1:66" ht="15">
      <c r="A128" s="2">
        <f t="shared" si="0"/>
        <v>126</v>
      </c>
      <c r="B128" s="4" t="s">
        <v>151</v>
      </c>
      <c r="C128" s="5"/>
      <c r="D128" s="6"/>
      <c r="E128" s="5"/>
      <c r="F128" s="6"/>
      <c r="G128" s="5"/>
      <c r="H128" s="6"/>
      <c r="I128" s="5"/>
      <c r="J128" s="6"/>
      <c r="K128" s="5"/>
      <c r="L128" s="6"/>
      <c r="M128" s="5">
        <v>176.26</v>
      </c>
      <c r="N128" s="6"/>
      <c r="O128" s="5"/>
      <c r="P128" s="6"/>
      <c r="Q128" s="5"/>
      <c r="R128" s="7"/>
      <c r="S128" s="17"/>
      <c r="T128" s="5"/>
      <c r="U128" s="6"/>
      <c r="V128" s="9" t="s">
        <v>152</v>
      </c>
      <c r="W128" s="8"/>
      <c r="X128" s="9"/>
      <c r="Y128" s="8"/>
      <c r="Z128" s="9"/>
      <c r="AA128" s="8"/>
      <c r="AB128" s="9"/>
      <c r="AC128" s="8"/>
      <c r="AD128" s="9"/>
      <c r="AE128" s="8"/>
      <c r="AF128" s="9"/>
      <c r="AG128" s="8"/>
      <c r="AH128" s="9"/>
      <c r="AI128" s="8"/>
      <c r="AJ128" s="9"/>
      <c r="AK128" s="8"/>
      <c r="AL128" s="9"/>
      <c r="AM128" s="8"/>
      <c r="AN128" s="9"/>
      <c r="AO128" s="8"/>
      <c r="AP128" s="9"/>
      <c r="AQ128" s="8"/>
      <c r="AR128" s="9"/>
      <c r="AS128" s="8"/>
      <c r="AT128" s="9"/>
      <c r="AU128" s="8"/>
      <c r="AV128" s="9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>
        <f t="shared" si="5"/>
        <v>176.26</v>
      </c>
      <c r="BK128" s="8"/>
      <c r="BL128" s="4" t="s">
        <v>151</v>
      </c>
      <c r="BM128" s="58" t="s">
        <v>313</v>
      </c>
      <c r="BN128" t="s">
        <v>357</v>
      </c>
    </row>
    <row r="129" spans="1:66" ht="15">
      <c r="A129" s="2">
        <f t="shared" si="0"/>
        <v>127</v>
      </c>
      <c r="B129" s="4" t="s">
        <v>277</v>
      </c>
      <c r="C129" s="9" t="s">
        <v>154</v>
      </c>
      <c r="D129" s="8"/>
      <c r="E129" s="9"/>
      <c r="F129" s="8"/>
      <c r="G129" s="9"/>
      <c r="H129" s="8"/>
      <c r="I129" s="9"/>
      <c r="J129" s="8"/>
      <c r="K129" s="9"/>
      <c r="L129" s="8"/>
      <c r="M129" s="9"/>
      <c r="N129" s="8"/>
      <c r="O129" s="9"/>
      <c r="P129" s="8"/>
      <c r="Q129" s="9"/>
      <c r="R129" s="9"/>
      <c r="S129" s="8"/>
      <c r="T129" s="9"/>
      <c r="U129" s="8"/>
      <c r="V129" s="9"/>
      <c r="W129" s="8"/>
      <c r="X129" s="9"/>
      <c r="Y129" s="8"/>
      <c r="Z129" s="9"/>
      <c r="AA129" s="8"/>
      <c r="AB129" s="9"/>
      <c r="AC129" s="8"/>
      <c r="AD129" s="9"/>
      <c r="AE129" s="8"/>
      <c r="AF129" s="9"/>
      <c r="AG129" s="8"/>
      <c r="AH129" s="9">
        <v>875</v>
      </c>
      <c r="AI129" s="8" t="s">
        <v>155</v>
      </c>
      <c r="AJ129" s="10" t="s">
        <v>79</v>
      </c>
      <c r="AK129" s="11"/>
      <c r="AL129" s="10">
        <v>51.27</v>
      </c>
      <c r="AM129" s="33"/>
      <c r="AN129" s="34"/>
      <c r="AO129" s="33"/>
      <c r="AP129" s="34"/>
      <c r="AQ129" s="33"/>
      <c r="AR129" s="34"/>
      <c r="AS129" s="33"/>
      <c r="AT129" s="34"/>
      <c r="AU129" s="33"/>
      <c r="AV129" s="34"/>
      <c r="AW129" s="64"/>
      <c r="AX129" s="64">
        <v>281.27</v>
      </c>
      <c r="AY129" s="64"/>
      <c r="AZ129" s="64"/>
      <c r="BA129" s="64">
        <v>201.27</v>
      </c>
      <c r="BB129" s="64"/>
      <c r="BC129" s="64"/>
      <c r="BD129" s="8"/>
      <c r="BE129" s="8"/>
      <c r="BF129" s="8"/>
      <c r="BG129" s="8"/>
      <c r="BH129" s="8"/>
      <c r="BI129" s="8"/>
      <c r="BJ129" s="8">
        <f t="shared" si="5"/>
        <v>1207.54</v>
      </c>
      <c r="BK129" s="8"/>
      <c r="BL129" s="4" t="s">
        <v>277</v>
      </c>
      <c r="BM129" s="59" t="s">
        <v>314</v>
      </c>
      <c r="BN129" t="s">
        <v>358</v>
      </c>
    </row>
    <row r="130" spans="1:66" ht="15">
      <c r="A130" s="2">
        <f t="shared" si="0"/>
        <v>128</v>
      </c>
      <c r="B130" s="4" t="s">
        <v>156</v>
      </c>
      <c r="C130" s="5"/>
      <c r="D130" s="6"/>
      <c r="E130" s="5"/>
      <c r="F130" s="6"/>
      <c r="G130" s="5"/>
      <c r="H130" s="6"/>
      <c r="I130" s="5"/>
      <c r="J130" s="6"/>
      <c r="K130" s="5"/>
      <c r="L130" s="6"/>
      <c r="M130" s="5"/>
      <c r="N130" s="8"/>
      <c r="O130" s="9"/>
      <c r="P130" s="8"/>
      <c r="Q130" s="9"/>
      <c r="R130" s="9"/>
      <c r="S130" s="8"/>
      <c r="T130" s="9"/>
      <c r="U130" s="8"/>
      <c r="V130" s="9"/>
      <c r="W130" s="8"/>
      <c r="X130" s="9"/>
      <c r="Y130" s="8"/>
      <c r="Z130" s="9"/>
      <c r="AA130" s="8"/>
      <c r="AB130" s="9"/>
      <c r="AC130" s="8"/>
      <c r="AD130" s="9"/>
      <c r="AE130" s="8"/>
      <c r="AF130" s="9"/>
      <c r="AG130" s="8"/>
      <c r="AH130" s="9"/>
      <c r="AI130" s="8"/>
      <c r="AJ130" s="9"/>
      <c r="AK130" s="8"/>
      <c r="AL130" s="9"/>
      <c r="AM130" s="8"/>
      <c r="AN130" s="9"/>
      <c r="AO130" s="8"/>
      <c r="AP130" s="9"/>
      <c r="AQ130" s="8"/>
      <c r="AR130" s="9"/>
      <c r="AS130" s="8"/>
      <c r="AT130" s="9"/>
      <c r="AU130" s="8"/>
      <c r="AV130" s="9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>
        <f t="shared" si="5"/>
        <v>0</v>
      </c>
      <c r="BK130" s="8"/>
      <c r="BL130" s="4" t="s">
        <v>156</v>
      </c>
      <c r="BM130" s="58" t="s">
        <v>313</v>
      </c>
      <c r="BN130" t="s">
        <v>351</v>
      </c>
    </row>
    <row r="131" spans="1:66" ht="15">
      <c r="A131" s="2">
        <f t="shared" si="0"/>
        <v>129</v>
      </c>
      <c r="B131" s="4" t="s">
        <v>157</v>
      </c>
      <c r="C131" s="5"/>
      <c r="D131" s="6"/>
      <c r="E131" s="5"/>
      <c r="F131" s="6"/>
      <c r="G131" s="5"/>
      <c r="H131" s="6"/>
      <c r="I131" s="5"/>
      <c r="J131" s="6"/>
      <c r="K131" s="5" t="s">
        <v>158</v>
      </c>
      <c r="L131" s="6"/>
      <c r="M131" s="5"/>
      <c r="N131" s="6"/>
      <c r="O131" s="5">
        <v>151.28</v>
      </c>
      <c r="P131" s="6"/>
      <c r="Q131" s="5"/>
      <c r="R131" s="5">
        <v>726.29</v>
      </c>
      <c r="S131" s="11"/>
      <c r="T131" s="10"/>
      <c r="U131" s="11"/>
      <c r="V131" s="10"/>
      <c r="W131" s="11"/>
      <c r="X131" s="10"/>
      <c r="Y131" s="11"/>
      <c r="Z131" s="10"/>
      <c r="AA131" s="11"/>
      <c r="AB131" s="10"/>
      <c r="AC131" s="11"/>
      <c r="AD131" s="10">
        <v>201.29</v>
      </c>
      <c r="AE131" s="11"/>
      <c r="AF131" s="10"/>
      <c r="AG131" s="11"/>
      <c r="AH131" s="10"/>
      <c r="AI131" s="33"/>
      <c r="AJ131" s="34"/>
      <c r="AK131" s="33"/>
      <c r="AL131" s="34"/>
      <c r="AM131" s="33"/>
      <c r="AN131" s="34">
        <v>126.29</v>
      </c>
      <c r="AO131" s="33"/>
      <c r="AP131" s="34"/>
      <c r="AQ131" s="56" t="s">
        <v>224</v>
      </c>
      <c r="AR131" s="34"/>
      <c r="AS131" s="33"/>
      <c r="AT131" s="34"/>
      <c r="AU131" s="33"/>
      <c r="AV131" s="34">
        <v>151.29</v>
      </c>
      <c r="AW131" s="33">
        <v>81.290000000000006</v>
      </c>
      <c r="AX131" s="33"/>
      <c r="AY131" s="64"/>
      <c r="AZ131" s="64"/>
      <c r="BA131" s="64">
        <v>121.29</v>
      </c>
      <c r="BB131" s="8"/>
      <c r="BC131" s="8"/>
      <c r="BD131" s="8"/>
      <c r="BE131" s="8"/>
      <c r="BF131" s="8"/>
      <c r="BG131" s="8"/>
      <c r="BH131" s="8"/>
      <c r="BI131" s="8"/>
      <c r="BJ131" s="8">
        <f t="shared" si="5"/>
        <v>1437.7299999999998</v>
      </c>
      <c r="BK131" s="8"/>
      <c r="BL131" s="4" t="s">
        <v>157</v>
      </c>
      <c r="BM131" s="59" t="s">
        <v>314</v>
      </c>
      <c r="BN131" t="s">
        <v>295</v>
      </c>
    </row>
    <row r="132" spans="1:66" ht="15">
      <c r="A132" s="2">
        <f t="shared" si="0"/>
        <v>130</v>
      </c>
      <c r="B132" s="4" t="s">
        <v>159</v>
      </c>
      <c r="C132" s="5"/>
      <c r="D132" s="6"/>
      <c r="E132" s="5"/>
      <c r="F132" s="6"/>
      <c r="G132" s="5"/>
      <c r="H132" s="6"/>
      <c r="I132" s="5"/>
      <c r="J132" s="6"/>
      <c r="K132" s="5"/>
      <c r="L132" s="6"/>
      <c r="M132" s="5"/>
      <c r="N132" s="6"/>
      <c r="O132" s="9" t="s">
        <v>160</v>
      </c>
      <c r="P132" s="8"/>
      <c r="Q132" s="9"/>
      <c r="R132" s="10"/>
      <c r="S132" s="11"/>
      <c r="T132" s="10"/>
      <c r="U132" s="11"/>
      <c r="V132" s="10"/>
      <c r="W132" s="11"/>
      <c r="X132" s="10"/>
      <c r="Y132" s="11"/>
      <c r="Z132" s="10"/>
      <c r="AA132" s="11"/>
      <c r="AB132" s="10"/>
      <c r="AC132" s="11"/>
      <c r="AD132" s="10">
        <v>156.30000000000001</v>
      </c>
      <c r="AE132" s="33"/>
      <c r="AF132" s="34"/>
      <c r="AG132" s="33"/>
      <c r="AH132" s="34"/>
      <c r="AI132" s="33"/>
      <c r="AJ132" s="34"/>
      <c r="AK132" s="33"/>
      <c r="AL132" s="34"/>
      <c r="AM132" s="33"/>
      <c r="AN132" s="34"/>
      <c r="AO132" s="33"/>
      <c r="AP132" s="33">
        <v>41.3</v>
      </c>
      <c r="AQ132" s="38">
        <v>126.3</v>
      </c>
      <c r="AR132" s="38">
        <v>40.299999999999997</v>
      </c>
      <c r="AS132" s="33"/>
      <c r="AT132" s="34">
        <v>41.3</v>
      </c>
      <c r="AU132" s="33"/>
      <c r="AV132" s="34">
        <v>41.3</v>
      </c>
      <c r="AW132" s="64" t="s">
        <v>268</v>
      </c>
      <c r="AX132" s="64">
        <v>41.3</v>
      </c>
      <c r="AY132" s="64">
        <v>41.3</v>
      </c>
      <c r="AZ132" s="64">
        <v>41.3</v>
      </c>
      <c r="BA132" s="8"/>
      <c r="BB132" s="8"/>
      <c r="BC132" s="8"/>
      <c r="BD132" s="8"/>
      <c r="BE132" s="8"/>
      <c r="BF132" s="8"/>
      <c r="BG132" s="8"/>
      <c r="BH132" s="8"/>
      <c r="BI132" s="8"/>
      <c r="BJ132" s="8">
        <f t="shared" si="5"/>
        <v>488.10000000000008</v>
      </c>
      <c r="BK132" s="8"/>
      <c r="BL132" s="4" t="s">
        <v>159</v>
      </c>
      <c r="BM132" s="59" t="s">
        <v>314</v>
      </c>
      <c r="BN132" t="s">
        <v>295</v>
      </c>
    </row>
    <row r="133" spans="1:66" ht="15">
      <c r="A133" s="2">
        <f t="shared" si="0"/>
        <v>131</v>
      </c>
      <c r="B133" s="4" t="s">
        <v>161</v>
      </c>
      <c r="C133" s="5"/>
      <c r="D133" s="6"/>
      <c r="E133" s="5"/>
      <c r="F133" s="6"/>
      <c r="G133" s="5"/>
      <c r="H133" s="6"/>
      <c r="I133" s="5"/>
      <c r="J133" s="6"/>
      <c r="K133" s="5"/>
      <c r="L133" s="6"/>
      <c r="M133" s="5"/>
      <c r="N133" s="6"/>
      <c r="O133" s="5"/>
      <c r="P133" s="6"/>
      <c r="Q133" s="5"/>
      <c r="R133" s="9" t="s">
        <v>162</v>
      </c>
      <c r="S133" s="8"/>
      <c r="T133" s="9"/>
      <c r="U133" s="8"/>
      <c r="V133" s="9"/>
      <c r="W133" s="8"/>
      <c r="X133" s="9"/>
      <c r="Y133" s="8"/>
      <c r="Z133" s="9"/>
      <c r="AA133" s="8"/>
      <c r="AB133" s="9"/>
      <c r="AC133" s="8"/>
      <c r="AD133" s="9"/>
      <c r="AE133" s="8"/>
      <c r="AF133" s="9"/>
      <c r="AG133" s="8"/>
      <c r="AH133" s="9"/>
      <c r="AI133" s="8"/>
      <c r="AJ133" s="9"/>
      <c r="AK133" s="8"/>
      <c r="AL133" s="9"/>
      <c r="AM133" s="8"/>
      <c r="AN133" s="9"/>
      <c r="AO133" s="8"/>
      <c r="AP133" s="9"/>
      <c r="AR133" s="9"/>
      <c r="AS133" s="8"/>
      <c r="AT133" s="9"/>
      <c r="AU133" s="8"/>
      <c r="AV133" s="9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>
        <f t="shared" si="5"/>
        <v>0</v>
      </c>
      <c r="BK133" s="8"/>
      <c r="BL133" s="4" t="s">
        <v>161</v>
      </c>
      <c r="BM133" s="58" t="s">
        <v>313</v>
      </c>
      <c r="BN133" t="s">
        <v>359</v>
      </c>
    </row>
    <row r="134" spans="1:66" ht="15">
      <c r="A134" s="2">
        <f t="shared" si="0"/>
        <v>132</v>
      </c>
      <c r="B134" s="4" t="s">
        <v>163</v>
      </c>
      <c r="C134" s="5"/>
      <c r="D134" s="6"/>
      <c r="E134" s="5"/>
      <c r="F134" s="6"/>
      <c r="G134" s="5"/>
      <c r="H134" s="6"/>
      <c r="I134" s="5"/>
      <c r="J134" s="6"/>
      <c r="K134" s="5"/>
      <c r="L134" s="6"/>
      <c r="M134" s="5"/>
      <c r="N134" s="6"/>
      <c r="O134" s="5"/>
      <c r="P134" s="6"/>
      <c r="Q134" s="5"/>
      <c r="R134" s="5"/>
      <c r="S134" s="6"/>
      <c r="T134" s="5">
        <v>751.32</v>
      </c>
      <c r="U134" s="8" t="s">
        <v>164</v>
      </c>
      <c r="V134" s="9"/>
      <c r="W134" s="8"/>
      <c r="X134" s="9"/>
      <c r="Y134" s="8"/>
      <c r="Z134" s="9"/>
      <c r="AA134" s="8"/>
      <c r="AB134" s="9"/>
      <c r="AC134" s="8"/>
      <c r="AD134" s="9"/>
      <c r="AE134" s="8"/>
      <c r="AF134" s="9"/>
      <c r="AG134" s="8"/>
      <c r="AH134" s="9"/>
      <c r="AI134" s="8"/>
      <c r="AJ134" s="9"/>
      <c r="AK134" s="8"/>
      <c r="AL134" s="9"/>
      <c r="AM134" s="8"/>
      <c r="AN134" s="9"/>
      <c r="AO134" s="8"/>
      <c r="AP134" s="9"/>
      <c r="AQ134" s="8"/>
      <c r="AR134" s="9"/>
      <c r="AS134" s="8"/>
      <c r="AT134" s="9"/>
      <c r="AU134" s="8"/>
      <c r="AV134" s="9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>
        <f t="shared" si="5"/>
        <v>751.32</v>
      </c>
      <c r="BK134" s="8"/>
      <c r="BL134" s="4" t="s">
        <v>163</v>
      </c>
      <c r="BM134" s="58" t="s">
        <v>313</v>
      </c>
      <c r="BN134" t="s">
        <v>357</v>
      </c>
    </row>
    <row r="135" spans="1:66" ht="15">
      <c r="A135" s="2">
        <f t="shared" si="0"/>
        <v>133</v>
      </c>
      <c r="B135" s="4" t="s">
        <v>165</v>
      </c>
      <c r="C135" s="9" t="s">
        <v>166</v>
      </c>
      <c r="D135" s="8"/>
      <c r="E135" s="9"/>
      <c r="F135" s="8"/>
      <c r="G135" s="9"/>
      <c r="H135" s="8"/>
      <c r="I135" s="9"/>
      <c r="J135" s="8"/>
      <c r="K135" s="9"/>
      <c r="L135" s="8"/>
      <c r="M135" s="9"/>
      <c r="N135" s="8"/>
      <c r="O135" s="9"/>
      <c r="P135" s="8"/>
      <c r="Q135" s="9"/>
      <c r="R135" s="9"/>
      <c r="S135" s="8"/>
      <c r="T135" s="9"/>
      <c r="U135" s="8"/>
      <c r="V135" s="9"/>
      <c r="W135" s="8"/>
      <c r="X135" s="9"/>
      <c r="Y135" s="8"/>
      <c r="Z135" s="9"/>
      <c r="AA135" s="8"/>
      <c r="AB135" s="9"/>
      <c r="AC135" s="8"/>
      <c r="AD135" s="9"/>
      <c r="AE135" s="8"/>
      <c r="AF135" s="9"/>
      <c r="AG135" s="8"/>
      <c r="AH135" s="9"/>
      <c r="AI135" s="8"/>
      <c r="AJ135" s="9"/>
      <c r="AK135" s="8"/>
      <c r="AL135" s="9"/>
      <c r="AM135" s="8"/>
      <c r="AN135" s="9"/>
      <c r="AO135" s="8"/>
      <c r="AP135" s="9"/>
      <c r="AQ135" s="8"/>
      <c r="AR135" s="9"/>
      <c r="AS135" s="8"/>
      <c r="AT135" s="9"/>
      <c r="AU135" s="8"/>
      <c r="AV135" s="9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>
        <f t="shared" si="5"/>
        <v>0</v>
      </c>
      <c r="BK135" s="8"/>
      <c r="BL135" s="4" t="s">
        <v>165</v>
      </c>
      <c r="BM135" s="58" t="s">
        <v>313</v>
      </c>
      <c r="BN135" t="s">
        <v>355</v>
      </c>
    </row>
    <row r="136" spans="1:66" ht="15">
      <c r="A136" s="2">
        <f t="shared" si="0"/>
        <v>134</v>
      </c>
      <c r="B136" s="4" t="s">
        <v>167</v>
      </c>
      <c r="C136" s="5"/>
      <c r="D136" s="6"/>
      <c r="E136" s="5"/>
      <c r="F136" s="6"/>
      <c r="G136" s="5"/>
      <c r="H136" s="6"/>
      <c r="I136" s="5"/>
      <c r="J136" s="6"/>
      <c r="K136" s="5"/>
      <c r="L136" s="6"/>
      <c r="M136" s="5"/>
      <c r="N136" s="6"/>
      <c r="O136" s="5"/>
      <c r="P136" s="6"/>
      <c r="Q136" s="5"/>
      <c r="R136" s="5"/>
      <c r="S136" s="6"/>
      <c r="T136" s="5"/>
      <c r="U136" s="6"/>
      <c r="V136" s="5"/>
      <c r="W136" s="6"/>
      <c r="X136" s="5">
        <v>256.33999999999997</v>
      </c>
      <c r="Y136" s="11" t="s">
        <v>168</v>
      </c>
      <c r="Z136" s="10">
        <v>165</v>
      </c>
      <c r="AA136" s="11"/>
      <c r="AB136" s="10">
        <v>165</v>
      </c>
      <c r="AC136" s="11"/>
      <c r="AD136" s="10">
        <v>165</v>
      </c>
      <c r="AE136" s="11"/>
      <c r="AF136" s="10">
        <v>145</v>
      </c>
      <c r="AG136" s="11"/>
      <c r="AH136" s="10">
        <v>25</v>
      </c>
      <c r="AI136" s="11"/>
      <c r="AJ136" s="10">
        <v>25</v>
      </c>
      <c r="AK136" s="11"/>
      <c r="AL136" s="10">
        <v>26.34</v>
      </c>
      <c r="AM136" s="33"/>
      <c r="AN136" s="34">
        <v>26.34</v>
      </c>
      <c r="AO136" s="33"/>
      <c r="AP136" s="34">
        <v>41.34</v>
      </c>
      <c r="AQ136" s="33"/>
      <c r="AR136" s="34">
        <v>41.34</v>
      </c>
      <c r="AS136" s="33"/>
      <c r="AT136" s="34">
        <v>41.34</v>
      </c>
      <c r="AU136" s="33"/>
      <c r="AV136" s="34">
        <v>41.34</v>
      </c>
      <c r="AW136" s="64"/>
      <c r="AX136" s="64">
        <v>41.34</v>
      </c>
      <c r="AY136" s="64">
        <v>41.34</v>
      </c>
      <c r="AZ136" s="64">
        <v>41.34</v>
      </c>
      <c r="BA136" s="8">
        <v>40</v>
      </c>
      <c r="BB136" s="8"/>
      <c r="BC136" s="8"/>
      <c r="BD136" s="8"/>
      <c r="BE136" s="8"/>
      <c r="BF136" s="8"/>
      <c r="BG136" s="8"/>
      <c r="BH136" s="8"/>
      <c r="BI136" s="8"/>
      <c r="BJ136" s="8">
        <f>SUM(C136:AY136)</f>
        <v>1247.0599999999995</v>
      </c>
      <c r="BK136" s="8"/>
      <c r="BL136" s="4" t="s">
        <v>167</v>
      </c>
      <c r="BM136" s="58" t="s">
        <v>313</v>
      </c>
      <c r="BN136" t="s">
        <v>360</v>
      </c>
    </row>
    <row r="137" spans="1:66" ht="15">
      <c r="A137" s="2">
        <f t="shared" si="0"/>
        <v>135</v>
      </c>
      <c r="B137" s="4" t="s">
        <v>169</v>
      </c>
      <c r="C137" s="9"/>
      <c r="D137" s="8"/>
      <c r="E137" s="9"/>
      <c r="F137" s="8"/>
      <c r="G137" s="9"/>
      <c r="H137" s="8"/>
      <c r="I137" s="9"/>
      <c r="J137" s="8"/>
      <c r="K137" s="9"/>
      <c r="L137" s="8"/>
      <c r="M137" s="9"/>
      <c r="N137" s="8"/>
      <c r="O137" s="9"/>
      <c r="P137" s="8"/>
      <c r="Q137" s="9"/>
      <c r="R137" s="9"/>
      <c r="S137" s="8"/>
      <c r="T137" s="9"/>
      <c r="U137" s="8"/>
      <c r="V137" s="9"/>
      <c r="W137" s="8"/>
      <c r="X137" s="9">
        <v>750</v>
      </c>
      <c r="Y137" s="8" t="s">
        <v>170</v>
      </c>
      <c r="Z137" s="9"/>
      <c r="AA137" s="8"/>
      <c r="AB137" s="9"/>
      <c r="AC137" s="8"/>
      <c r="AD137" s="9"/>
      <c r="AE137" s="8"/>
      <c r="AF137" s="10"/>
      <c r="AG137" s="11"/>
      <c r="AH137" s="10"/>
      <c r="AI137" s="11"/>
      <c r="AJ137" s="10"/>
      <c r="AK137" s="11"/>
      <c r="AL137" s="10">
        <v>101.35</v>
      </c>
      <c r="AM137" s="11"/>
      <c r="AN137" s="10">
        <v>41.35</v>
      </c>
      <c r="AO137" s="11"/>
      <c r="AP137" s="10" t="s">
        <v>231</v>
      </c>
      <c r="AQ137" s="33" t="s">
        <v>232</v>
      </c>
      <c r="AR137" s="34">
        <v>41.35</v>
      </c>
      <c r="AS137" s="33"/>
      <c r="AT137" s="34">
        <v>41.35</v>
      </c>
      <c r="AU137" s="33"/>
      <c r="AV137" s="34">
        <v>41.35</v>
      </c>
      <c r="AW137" s="64">
        <v>81.349999999999994</v>
      </c>
      <c r="AX137" s="64">
        <v>41.35</v>
      </c>
      <c r="AY137" s="64">
        <v>41.35</v>
      </c>
      <c r="AZ137" s="64">
        <v>41.35</v>
      </c>
      <c r="BA137" s="8"/>
      <c r="BB137" s="8"/>
      <c r="BC137" s="8"/>
      <c r="BD137" s="8"/>
      <c r="BE137" s="8"/>
      <c r="BF137" s="8"/>
      <c r="BG137" s="8"/>
      <c r="BH137" s="8"/>
      <c r="BI137" s="8"/>
      <c r="BJ137" s="8">
        <f>SUM(C137:AZ137)</f>
        <v>1222.1499999999999</v>
      </c>
      <c r="BK137" s="8"/>
      <c r="BL137" s="4" t="s">
        <v>169</v>
      </c>
      <c r="BM137" s="59" t="s">
        <v>314</v>
      </c>
      <c r="BN137" t="s">
        <v>295</v>
      </c>
    </row>
    <row r="138" spans="1:66" ht="15">
      <c r="A138" s="2">
        <f t="shared" si="0"/>
        <v>136</v>
      </c>
      <c r="B138" s="4" t="s">
        <v>171</v>
      </c>
      <c r="C138" s="5"/>
      <c r="D138" s="6"/>
      <c r="E138" s="5"/>
      <c r="F138" s="6"/>
      <c r="G138" s="5"/>
      <c r="H138" s="6"/>
      <c r="I138" s="5"/>
      <c r="J138" s="6"/>
      <c r="K138" s="5"/>
      <c r="L138" s="6"/>
      <c r="M138" s="5"/>
      <c r="N138" s="6"/>
      <c r="O138" s="5"/>
      <c r="P138" s="6"/>
      <c r="Q138" s="5"/>
      <c r="R138" s="5"/>
      <c r="S138" s="6"/>
      <c r="T138" s="5"/>
      <c r="U138" s="6"/>
      <c r="V138" s="5"/>
      <c r="W138" s="6"/>
      <c r="X138" s="5"/>
      <c r="Y138" s="6"/>
      <c r="Z138" s="5"/>
      <c r="AA138" s="6"/>
      <c r="AB138" s="5"/>
      <c r="AC138" s="6"/>
      <c r="AD138" s="5"/>
      <c r="AE138" s="6"/>
      <c r="AF138" s="5"/>
      <c r="AG138" s="6"/>
      <c r="AH138" s="5"/>
      <c r="AI138" s="6"/>
      <c r="AJ138" s="5"/>
      <c r="AK138" s="6"/>
      <c r="AL138" s="5"/>
      <c r="AM138" s="6"/>
      <c r="AN138" s="5"/>
      <c r="AO138" s="6"/>
      <c r="AP138" s="5"/>
      <c r="AQ138" s="6"/>
      <c r="AR138" s="5"/>
      <c r="AS138" s="6"/>
      <c r="AT138" s="5"/>
      <c r="AU138" s="6"/>
      <c r="AV138" s="5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>
        <f t="shared" si="5"/>
        <v>0</v>
      </c>
      <c r="BK138" s="8"/>
      <c r="BL138" s="4" t="s">
        <v>171</v>
      </c>
      <c r="BM138" s="58" t="s">
        <v>313</v>
      </c>
      <c r="BN138" t="s">
        <v>335</v>
      </c>
    </row>
    <row r="139" spans="1:66" ht="15">
      <c r="A139" s="2">
        <v>137</v>
      </c>
      <c r="B139" s="4" t="s">
        <v>172</v>
      </c>
      <c r="C139" s="9"/>
      <c r="D139" s="8"/>
      <c r="E139" s="9"/>
      <c r="F139" s="8"/>
      <c r="G139" s="9"/>
      <c r="H139" s="8"/>
      <c r="I139" s="9"/>
      <c r="J139" s="8"/>
      <c r="K139" s="9"/>
      <c r="L139" s="8"/>
      <c r="M139" s="9"/>
      <c r="N139" s="8"/>
      <c r="O139" s="9"/>
      <c r="P139" s="8"/>
      <c r="Q139" s="9"/>
      <c r="R139" s="9"/>
      <c r="S139" s="8"/>
      <c r="T139" s="9"/>
      <c r="U139" s="8"/>
      <c r="V139" s="9"/>
      <c r="W139" s="8"/>
      <c r="X139" s="9"/>
      <c r="Y139" s="8"/>
      <c r="Z139" s="9"/>
      <c r="AA139" s="8"/>
      <c r="AB139" s="9"/>
      <c r="AC139" s="8"/>
      <c r="AD139" s="9">
        <v>750</v>
      </c>
      <c r="AE139" s="8" t="s">
        <v>173</v>
      </c>
      <c r="AF139" s="5"/>
      <c r="AG139" s="6"/>
      <c r="AH139" s="5">
        <v>51.37</v>
      </c>
      <c r="AI139" s="11"/>
      <c r="AJ139" s="10"/>
      <c r="AK139" s="11"/>
      <c r="AL139" s="10">
        <v>51.37</v>
      </c>
      <c r="AM139" s="33"/>
      <c r="AN139" s="34">
        <v>26.37</v>
      </c>
      <c r="AO139" s="33"/>
      <c r="AP139" s="34"/>
      <c r="AQ139" s="33"/>
      <c r="AR139" s="34"/>
      <c r="AS139" s="33"/>
      <c r="AT139" s="34">
        <v>87</v>
      </c>
      <c r="AU139" s="8"/>
      <c r="AV139" s="9" t="s">
        <v>264</v>
      </c>
      <c r="AW139" s="8"/>
      <c r="AX139" s="8" t="s">
        <v>385</v>
      </c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>
        <f>SUM(C139:AX139)</f>
        <v>966.11</v>
      </c>
      <c r="BK139" s="8"/>
      <c r="BL139" s="4" t="s">
        <v>172</v>
      </c>
      <c r="BM139" s="58" t="s">
        <v>313</v>
      </c>
      <c r="BN139" t="s">
        <v>361</v>
      </c>
    </row>
    <row r="140" spans="1:66" ht="12.75">
      <c r="A140" s="2">
        <v>138</v>
      </c>
      <c r="B140" s="19" t="s">
        <v>174</v>
      </c>
      <c r="C140" s="9"/>
      <c r="D140" s="8"/>
      <c r="E140" s="9"/>
      <c r="F140" s="8"/>
      <c r="G140" s="9"/>
      <c r="H140" s="8"/>
      <c r="I140" s="9"/>
      <c r="J140" s="8"/>
      <c r="K140" s="9"/>
      <c r="L140" s="8"/>
      <c r="M140" s="9"/>
      <c r="N140" s="8"/>
      <c r="O140" s="9"/>
      <c r="P140" s="8"/>
      <c r="Q140" s="9"/>
      <c r="R140" s="9"/>
      <c r="S140" s="8"/>
      <c r="T140" s="9"/>
      <c r="U140" s="8"/>
      <c r="V140" s="9"/>
      <c r="W140" s="8"/>
      <c r="X140" s="9"/>
      <c r="Y140" s="8"/>
      <c r="Z140" s="9"/>
      <c r="AA140" s="8"/>
      <c r="AB140" s="9"/>
      <c r="AC140" s="8"/>
      <c r="AD140" s="9"/>
      <c r="AE140" s="8"/>
      <c r="AF140" s="9"/>
      <c r="AG140" s="8"/>
      <c r="AH140" s="9"/>
      <c r="AI140" s="8"/>
      <c r="AJ140" s="9"/>
      <c r="AK140" s="11"/>
      <c r="AL140" s="29">
        <v>651.38</v>
      </c>
      <c r="AM140" s="30" t="s">
        <v>175</v>
      </c>
      <c r="AN140" s="31">
        <v>66.38</v>
      </c>
      <c r="AO140" s="33"/>
      <c r="AP140" s="34">
        <v>81.38</v>
      </c>
      <c r="AQ140" s="33"/>
      <c r="AR140" s="34">
        <v>81.38</v>
      </c>
      <c r="AS140" s="33"/>
      <c r="AT140" s="34"/>
      <c r="AU140" s="33"/>
      <c r="AV140" s="34">
        <v>41.38</v>
      </c>
      <c r="AW140" s="33">
        <v>121.38</v>
      </c>
      <c r="AX140" s="33"/>
      <c r="AY140" s="64"/>
      <c r="AZ140" s="64">
        <v>120</v>
      </c>
      <c r="BA140" s="64"/>
      <c r="BB140" s="64"/>
      <c r="BC140" s="8"/>
      <c r="BD140" s="8"/>
      <c r="BE140" s="8"/>
      <c r="BF140" s="8"/>
      <c r="BG140" s="8"/>
      <c r="BH140" s="8"/>
      <c r="BI140" s="8"/>
      <c r="BJ140" s="33"/>
      <c r="BK140" s="33"/>
      <c r="BL140" s="19" t="s">
        <v>174</v>
      </c>
      <c r="BM140" s="59" t="s">
        <v>314</v>
      </c>
      <c r="BN140" t="s">
        <v>362</v>
      </c>
    </row>
    <row r="141" spans="1:66" ht="15">
      <c r="A141">
        <v>139</v>
      </c>
      <c r="B141" s="4" t="s">
        <v>227</v>
      </c>
      <c r="C141" s="9"/>
      <c r="D141" s="8"/>
      <c r="E141" s="9"/>
      <c r="F141" s="8"/>
      <c r="G141" s="9"/>
      <c r="H141" s="8"/>
      <c r="I141" s="9"/>
      <c r="J141" s="8"/>
      <c r="K141" s="9"/>
      <c r="L141" s="8"/>
      <c r="M141" s="9"/>
      <c r="N141" s="8"/>
      <c r="O141" s="9"/>
      <c r="P141" s="8"/>
      <c r="Q141" s="9"/>
      <c r="R141" s="9"/>
      <c r="S141" s="8"/>
      <c r="T141" s="9"/>
      <c r="U141" s="8"/>
      <c r="V141" s="9"/>
      <c r="W141" s="8"/>
      <c r="X141" s="9"/>
      <c r="Y141" s="8"/>
      <c r="Z141" s="9"/>
      <c r="AA141" s="8"/>
      <c r="AB141" s="9"/>
      <c r="AC141" s="8"/>
      <c r="AD141" s="9"/>
      <c r="AE141" s="8"/>
      <c r="AF141" s="9"/>
      <c r="AG141" s="8"/>
      <c r="AH141" s="9"/>
      <c r="AI141" s="8"/>
      <c r="AJ141" s="9"/>
      <c r="AK141" s="8"/>
      <c r="AL141" s="9"/>
      <c r="AM141" s="8"/>
      <c r="AN141" s="9"/>
      <c r="AO141" s="8"/>
      <c r="AP141" s="34">
        <v>326.39</v>
      </c>
      <c r="AQ141" s="33" t="s">
        <v>257</v>
      </c>
      <c r="AR141" s="34">
        <v>326.39</v>
      </c>
      <c r="AS141" s="33" t="s">
        <v>258</v>
      </c>
      <c r="AT141" s="34"/>
      <c r="AU141" s="33"/>
      <c r="AV141" s="34">
        <v>181.39</v>
      </c>
      <c r="AW141" s="8" t="s">
        <v>363</v>
      </c>
      <c r="AX141" s="8"/>
      <c r="AY141" s="8" t="s">
        <v>388</v>
      </c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4" t="s">
        <v>227</v>
      </c>
      <c r="BM141" s="58" t="s">
        <v>313</v>
      </c>
      <c r="BN141" t="s">
        <v>364</v>
      </c>
    </row>
    <row r="142" spans="1:66" ht="15">
      <c r="A142" s="2">
        <v>140</v>
      </c>
      <c r="B142" s="4" t="s">
        <v>366</v>
      </c>
      <c r="C142" s="9"/>
      <c r="D142" s="8"/>
      <c r="E142" s="9"/>
      <c r="F142" s="8"/>
      <c r="G142" s="9"/>
      <c r="H142" s="8"/>
      <c r="I142" s="9"/>
      <c r="J142" s="8"/>
      <c r="K142" s="9"/>
      <c r="L142" s="8"/>
      <c r="M142" s="9"/>
      <c r="N142" s="8"/>
      <c r="O142" s="9"/>
      <c r="P142" s="8"/>
      <c r="Q142" s="9"/>
      <c r="R142" s="9"/>
      <c r="S142" s="8"/>
      <c r="T142" s="9"/>
      <c r="U142" s="8"/>
      <c r="V142" s="9"/>
      <c r="W142" s="8"/>
      <c r="X142" s="9"/>
      <c r="Y142" s="8"/>
      <c r="Z142" s="9"/>
      <c r="AA142" s="8"/>
      <c r="AB142" s="9"/>
      <c r="AC142" s="8"/>
      <c r="AD142" s="9"/>
      <c r="AE142" s="8"/>
      <c r="AF142" s="9"/>
      <c r="AG142" s="8"/>
      <c r="AH142" s="9"/>
      <c r="AI142" s="8"/>
      <c r="AJ142" s="9"/>
      <c r="AK142" s="8"/>
      <c r="AL142" s="9"/>
      <c r="AM142" s="8"/>
      <c r="AN142" s="9"/>
      <c r="AO142" s="8"/>
      <c r="AP142" s="9"/>
      <c r="AQ142" s="8"/>
      <c r="AR142" s="9"/>
      <c r="AS142" s="8"/>
      <c r="AT142" s="9"/>
      <c r="AU142" s="8"/>
      <c r="AV142" s="9"/>
      <c r="AW142" s="8"/>
      <c r="AX142" s="8">
        <v>325</v>
      </c>
      <c r="AY142" s="64">
        <v>326.39999999999998</v>
      </c>
      <c r="AZ142" s="64">
        <v>80</v>
      </c>
      <c r="BA142" s="64">
        <v>40</v>
      </c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4"/>
      <c r="BM142" s="64"/>
      <c r="BN142" t="s">
        <v>367</v>
      </c>
    </row>
    <row r="143" spans="1:66" ht="15">
      <c r="B143" s="4"/>
      <c r="C143" s="9"/>
      <c r="D143" s="8"/>
      <c r="E143" s="9"/>
      <c r="F143" s="8"/>
      <c r="G143" s="9"/>
      <c r="H143" s="8"/>
      <c r="I143" s="9"/>
      <c r="J143" s="8"/>
      <c r="K143" s="9"/>
      <c r="L143" s="8"/>
      <c r="M143" s="9"/>
      <c r="N143" s="8"/>
      <c r="O143" s="9"/>
      <c r="P143" s="8"/>
      <c r="Q143" s="9"/>
      <c r="R143" s="9"/>
      <c r="S143" s="8"/>
      <c r="T143" s="9"/>
      <c r="U143" s="8"/>
      <c r="V143" s="9"/>
      <c r="W143" s="8"/>
      <c r="X143" s="9"/>
      <c r="Y143" s="8"/>
      <c r="Z143" s="9"/>
      <c r="AA143" s="8"/>
      <c r="AB143" s="9"/>
      <c r="AC143" s="8"/>
      <c r="AD143" s="9"/>
      <c r="AE143" s="8"/>
      <c r="AF143" s="9"/>
      <c r="AG143" s="8"/>
      <c r="AH143" s="9"/>
      <c r="AI143" s="8"/>
      <c r="AJ143" s="9"/>
      <c r="AK143" s="8"/>
      <c r="AL143" s="9"/>
      <c r="AM143" s="8"/>
      <c r="AN143" s="9"/>
      <c r="AO143" s="8"/>
      <c r="AP143" s="9"/>
      <c r="AQ143" s="8"/>
      <c r="AR143" s="9"/>
      <c r="AS143" s="8"/>
      <c r="AT143" s="9"/>
      <c r="AU143" s="8"/>
      <c r="AV143" s="9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4"/>
      <c r="BM143" s="8"/>
    </row>
    <row r="144" spans="1:66" ht="12.75">
      <c r="C144" s="9"/>
      <c r="D144" s="8"/>
      <c r="E144" s="9"/>
      <c r="F144" s="8"/>
      <c r="G144" s="9"/>
      <c r="H144" s="8"/>
      <c r="I144" s="9"/>
      <c r="J144" s="8"/>
      <c r="K144" s="9"/>
      <c r="L144" s="8"/>
      <c r="M144" s="20" t="s">
        <v>176</v>
      </c>
      <c r="N144" s="8"/>
      <c r="O144" s="9"/>
      <c r="P144" s="8"/>
      <c r="Q144" s="9"/>
      <c r="R144" s="9"/>
      <c r="S144" s="8"/>
      <c r="T144" s="9"/>
      <c r="U144" s="8"/>
      <c r="V144" s="9"/>
      <c r="W144" s="8"/>
      <c r="X144" s="9"/>
      <c r="Y144" s="8"/>
      <c r="Z144" s="9"/>
      <c r="AA144" s="8"/>
      <c r="AB144" s="20" t="s">
        <v>177</v>
      </c>
      <c r="AC144" s="8"/>
      <c r="AD144" s="9"/>
      <c r="AE144" s="8"/>
      <c r="AF144" s="9"/>
      <c r="AG144" s="8"/>
      <c r="AH144" s="9"/>
      <c r="AI144" s="8"/>
      <c r="AJ144" s="9"/>
      <c r="AK144" s="8"/>
      <c r="AM144" s="8"/>
      <c r="AN144" s="65">
        <v>41.02</v>
      </c>
      <c r="AO144" s="8" t="s">
        <v>370</v>
      </c>
      <c r="AP144" s="9"/>
      <c r="AQ144" s="8"/>
      <c r="AR144" s="48" t="s">
        <v>255</v>
      </c>
      <c r="AS144" s="8"/>
      <c r="AT144" s="9" t="s">
        <v>392</v>
      </c>
      <c r="AU144" s="8"/>
      <c r="AV144" s="9"/>
      <c r="AW144" s="53" t="s">
        <v>272</v>
      </c>
      <c r="AX144" s="54" t="s">
        <v>395</v>
      </c>
      <c r="AY144" s="70" t="s">
        <v>389</v>
      </c>
      <c r="AZ144" s="53" t="s">
        <v>400</v>
      </c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M144" s="8"/>
    </row>
    <row r="145" spans="2:65" ht="12.75">
      <c r="C145" s="9"/>
      <c r="D145" s="8"/>
      <c r="E145" s="9"/>
      <c r="F145" s="8"/>
      <c r="G145" s="9"/>
      <c r="H145" s="8"/>
      <c r="I145" s="9"/>
      <c r="J145" s="8"/>
      <c r="K145" s="9"/>
      <c r="L145" s="8"/>
      <c r="M145" s="20" t="s">
        <v>178</v>
      </c>
      <c r="N145" s="8"/>
      <c r="O145" s="9"/>
      <c r="P145" s="8"/>
      <c r="Q145" s="21"/>
      <c r="R145" s="9"/>
      <c r="S145" s="8"/>
      <c r="T145" s="9"/>
      <c r="U145" s="8"/>
      <c r="V145" s="9"/>
      <c r="W145" s="8"/>
      <c r="X145" s="9"/>
      <c r="Y145" s="8"/>
      <c r="Z145" s="9"/>
      <c r="AA145" s="8"/>
      <c r="AB145" s="9"/>
      <c r="AC145" s="8"/>
      <c r="AE145" s="8"/>
      <c r="AF145" s="20" t="s">
        <v>179</v>
      </c>
      <c r="AG145" s="8"/>
      <c r="AH145" s="9"/>
      <c r="AI145" s="8"/>
      <c r="AK145" s="8"/>
      <c r="AL145" s="9"/>
      <c r="AM145" s="8"/>
      <c r="AN145" s="9"/>
      <c r="AO145" s="8"/>
      <c r="AP145" s="9"/>
      <c r="AQ145" s="8"/>
      <c r="AR145" s="9"/>
      <c r="AS145" s="8"/>
      <c r="AT145" s="9"/>
      <c r="AU145" s="8"/>
      <c r="AV145" s="9"/>
      <c r="AW145" s="8"/>
      <c r="AX145" s="8"/>
      <c r="AY145" s="70" t="s">
        <v>390</v>
      </c>
      <c r="AZ145" s="53" t="s">
        <v>401</v>
      </c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M145" s="8"/>
    </row>
    <row r="146" spans="2:65" ht="12.75">
      <c r="C146" s="9"/>
      <c r="D146" s="8"/>
      <c r="E146" s="9"/>
      <c r="F146" s="8"/>
      <c r="G146" s="9"/>
      <c r="H146" s="8"/>
      <c r="I146" s="9"/>
      <c r="J146" s="8"/>
      <c r="K146" s="9"/>
      <c r="L146" s="8"/>
      <c r="M146" s="9"/>
      <c r="N146" s="8"/>
      <c r="O146" s="9"/>
      <c r="P146" s="8"/>
      <c r="Q146" s="9"/>
      <c r="R146" s="9"/>
      <c r="S146" s="8"/>
      <c r="T146" s="9"/>
      <c r="U146" s="8"/>
      <c r="V146" s="9" t="s">
        <v>180</v>
      </c>
      <c r="W146" s="8"/>
      <c r="X146" s="9"/>
      <c r="Y146" s="8"/>
      <c r="Z146" s="9"/>
      <c r="AA146" s="8"/>
      <c r="AB146" s="16"/>
      <c r="AC146" s="2"/>
      <c r="AD146" s="9"/>
      <c r="AE146" s="8"/>
      <c r="AG146" s="8"/>
      <c r="AH146" s="9"/>
      <c r="AI146" s="8"/>
      <c r="AJ146" s="9"/>
      <c r="AK146" s="8"/>
      <c r="AL146" s="9"/>
      <c r="AM146" s="8"/>
      <c r="AN146" s="9"/>
      <c r="AO146" s="8"/>
      <c r="AP146" s="9"/>
      <c r="AQ146" s="8"/>
      <c r="AR146" s="9"/>
      <c r="AS146" s="8"/>
      <c r="AT146" s="9"/>
      <c r="AU146" s="8"/>
      <c r="AV146" s="9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M146" s="8"/>
    </row>
    <row r="147" spans="2:65" ht="12.75">
      <c r="C147" s="9"/>
      <c r="D147" s="8"/>
      <c r="E147" s="9"/>
      <c r="F147" s="8"/>
      <c r="G147" s="9"/>
      <c r="H147" s="8"/>
      <c r="I147" s="9"/>
      <c r="J147" s="8"/>
      <c r="K147" s="9"/>
      <c r="L147" s="8"/>
      <c r="M147" s="9"/>
      <c r="N147" s="8"/>
      <c r="O147" s="9"/>
      <c r="P147" s="8"/>
      <c r="Q147" s="9"/>
      <c r="R147" s="9"/>
      <c r="S147" s="8"/>
      <c r="T147" s="9"/>
      <c r="U147" s="8"/>
      <c r="V147" s="9"/>
      <c r="W147" s="8"/>
      <c r="X147" s="9"/>
      <c r="Y147" s="8"/>
      <c r="Z147" s="9"/>
      <c r="AA147" s="8"/>
      <c r="AB147" s="9"/>
      <c r="AC147" s="8"/>
      <c r="AD147" s="9"/>
      <c r="AE147" s="8"/>
      <c r="AF147" s="9"/>
      <c r="AG147" s="8"/>
      <c r="AH147" s="9"/>
      <c r="AI147" s="8"/>
      <c r="AJ147" s="9"/>
      <c r="AK147" s="8"/>
      <c r="AL147" s="9"/>
      <c r="AM147" s="8"/>
      <c r="AN147" s="9"/>
      <c r="AO147" s="8"/>
      <c r="AP147" s="9"/>
      <c r="AQ147" s="8"/>
      <c r="AR147" s="9"/>
      <c r="AS147" s="8"/>
      <c r="AT147" s="9"/>
      <c r="AU147" s="8"/>
      <c r="AV147" s="9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M147" s="8"/>
    </row>
    <row r="148" spans="2:65" ht="12.75">
      <c r="B148" s="22"/>
      <c r="C148" s="9"/>
      <c r="D148" s="8"/>
      <c r="E148" s="9"/>
      <c r="F148" s="8"/>
      <c r="G148" s="9"/>
      <c r="H148" s="8"/>
      <c r="I148" s="9"/>
      <c r="J148" s="8"/>
      <c r="K148" s="9"/>
      <c r="L148" s="8"/>
      <c r="M148" s="9"/>
      <c r="N148" s="8"/>
      <c r="O148" s="9"/>
      <c r="P148" s="8"/>
      <c r="Q148" s="9"/>
      <c r="R148" s="9"/>
      <c r="S148" s="8"/>
      <c r="T148" s="9"/>
      <c r="U148" s="8"/>
      <c r="V148" s="9"/>
      <c r="W148" s="8"/>
      <c r="X148" s="9"/>
      <c r="Y148" s="8"/>
      <c r="Z148" s="9"/>
      <c r="AA148" s="8"/>
      <c r="AB148" s="9"/>
      <c r="AC148" s="8"/>
      <c r="AD148" s="9"/>
      <c r="AE148" s="8"/>
      <c r="AF148" s="9"/>
      <c r="AG148" s="8"/>
      <c r="AH148" s="9"/>
      <c r="AI148" s="8"/>
      <c r="AJ148" s="9"/>
      <c r="AK148" s="8"/>
      <c r="AL148" s="9"/>
      <c r="AM148" s="8"/>
      <c r="AN148" s="9"/>
      <c r="AO148" s="8"/>
      <c r="AP148" s="9"/>
      <c r="AQ148" s="8"/>
      <c r="AR148" s="9"/>
      <c r="AS148" s="8"/>
      <c r="AT148" s="9"/>
      <c r="AU148" s="8"/>
      <c r="AV148" s="9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22"/>
      <c r="BM148" s="8"/>
    </row>
    <row r="149" spans="2:65" ht="12.75">
      <c r="B149" s="2" t="s">
        <v>181</v>
      </c>
      <c r="C149" s="9" t="s">
        <v>79</v>
      </c>
      <c r="D149" s="44" t="s">
        <v>245</v>
      </c>
      <c r="E149" s="9"/>
      <c r="F149" s="8"/>
      <c r="G149" s="9"/>
      <c r="H149" s="8"/>
      <c r="I149" s="9"/>
      <c r="J149" s="8"/>
      <c r="K149" s="9"/>
      <c r="L149" s="8"/>
      <c r="M149" s="9"/>
      <c r="N149" s="8"/>
      <c r="O149" s="9"/>
      <c r="P149" s="8"/>
      <c r="Q149" s="9"/>
      <c r="R149" s="9"/>
      <c r="S149" s="8"/>
      <c r="T149" s="9"/>
      <c r="U149" s="8"/>
      <c r="V149" s="9"/>
      <c r="W149" s="8"/>
      <c r="X149" s="9"/>
      <c r="Y149" s="8"/>
      <c r="Z149" s="9"/>
      <c r="AA149" s="8"/>
      <c r="AB149" s="9"/>
      <c r="AC149" s="8"/>
      <c r="AD149" s="9"/>
      <c r="AE149" s="8"/>
      <c r="AF149" s="9"/>
      <c r="AG149" s="8"/>
      <c r="AH149" s="9"/>
      <c r="AI149" s="8"/>
      <c r="AJ149" s="9"/>
      <c r="AK149" s="8"/>
      <c r="AL149" s="9"/>
      <c r="AM149" s="8"/>
      <c r="AN149" s="9"/>
      <c r="AO149" s="8"/>
      <c r="AP149" s="9"/>
      <c r="AQ149" s="8"/>
      <c r="AR149" s="9"/>
      <c r="AS149" s="8"/>
      <c r="AT149" s="9"/>
      <c r="AU149" s="8"/>
      <c r="AV149" s="9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2" t="s">
        <v>181</v>
      </c>
      <c r="BM149" s="8"/>
    </row>
    <row r="150" spans="2:65" ht="12.75">
      <c r="B150" s="2" t="s">
        <v>182</v>
      </c>
      <c r="C150" s="23" t="s">
        <v>183</v>
      </c>
      <c r="D150" s="44" t="s">
        <v>242</v>
      </c>
      <c r="E150" s="16">
        <v>56</v>
      </c>
      <c r="F150" s="8"/>
      <c r="G150" s="45" t="s">
        <v>243</v>
      </c>
      <c r="H150">
        <v>74</v>
      </c>
      <c r="I150" s="44" t="s">
        <v>244</v>
      </c>
      <c r="J150" s="16">
        <v>86</v>
      </c>
      <c r="K150" s="9"/>
      <c r="L150" s="8"/>
      <c r="M150" s="9"/>
      <c r="N150" s="8"/>
      <c r="O150" s="9"/>
      <c r="P150" s="8"/>
      <c r="Q150" s="9"/>
      <c r="R150" s="9"/>
      <c r="S150" s="8"/>
      <c r="T150" s="9"/>
      <c r="U150" s="8"/>
      <c r="V150" s="9"/>
      <c r="W150" s="8"/>
      <c r="X150" s="9"/>
      <c r="Y150" s="8"/>
      <c r="Z150" s="9"/>
      <c r="AA150" s="8"/>
      <c r="AB150" s="9"/>
      <c r="AC150" s="8"/>
      <c r="AD150" s="9"/>
      <c r="AE150" s="8"/>
      <c r="AF150" s="9"/>
      <c r="AG150" s="8"/>
      <c r="AH150" s="9"/>
      <c r="AI150" s="8"/>
      <c r="AJ150" s="9"/>
      <c r="AK150" s="8"/>
      <c r="AL150" s="9"/>
      <c r="AM150" s="8"/>
      <c r="AN150" s="9"/>
      <c r="AO150" s="8"/>
      <c r="AP150" s="9"/>
      <c r="AQ150" s="8"/>
      <c r="AR150" s="9"/>
      <c r="AS150" s="8"/>
      <c r="AT150" s="9"/>
      <c r="AU150" s="8"/>
      <c r="AV150" s="9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2" t="s">
        <v>182</v>
      </c>
      <c r="BM150" s="8"/>
    </row>
    <row r="151" spans="2:65" ht="12.75">
      <c r="B151" s="2" t="s">
        <v>184</v>
      </c>
      <c r="C151" s="9" t="s">
        <v>185</v>
      </c>
      <c r="F151" s="8"/>
      <c r="G151" s="9"/>
      <c r="H151" s="8"/>
      <c r="I151" s="9"/>
      <c r="J151" s="8"/>
      <c r="K151" s="9"/>
      <c r="L151" s="8"/>
      <c r="M151" s="9"/>
      <c r="N151" s="8"/>
      <c r="O151" s="9"/>
      <c r="P151" s="8"/>
      <c r="Q151" s="9"/>
      <c r="R151" s="9"/>
      <c r="S151" s="8"/>
      <c r="T151" s="9"/>
      <c r="U151" s="8"/>
      <c r="V151" s="9"/>
      <c r="W151" s="8"/>
      <c r="X151" s="9"/>
      <c r="Y151" s="8"/>
      <c r="Z151" s="9"/>
      <c r="AA151" s="8"/>
      <c r="AB151" s="9"/>
      <c r="AC151" s="8"/>
      <c r="AD151" s="9"/>
      <c r="AE151" s="8"/>
      <c r="AF151" s="9"/>
      <c r="AG151" s="8"/>
      <c r="AH151" s="9"/>
      <c r="AI151" s="8"/>
      <c r="AJ151" s="9"/>
      <c r="AK151" s="8"/>
      <c r="AL151" s="9"/>
      <c r="AM151" s="8"/>
      <c r="AN151" s="9"/>
      <c r="AO151" s="8"/>
      <c r="AP151" s="9"/>
      <c r="AQ151" s="8"/>
      <c r="AR151" s="9"/>
      <c r="AS151" s="8"/>
      <c r="AT151" s="9"/>
      <c r="AU151" s="8"/>
      <c r="AV151" s="9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2" t="s">
        <v>184</v>
      </c>
      <c r="BM151" s="8"/>
    </row>
    <row r="152" spans="2:65" ht="12.75">
      <c r="B152" s="2" t="s">
        <v>186</v>
      </c>
      <c r="C152" s="9" t="s">
        <v>187</v>
      </c>
      <c r="E152">
        <v>42</v>
      </c>
      <c r="F152" s="8"/>
      <c r="G152" s="9"/>
      <c r="H152" s="8"/>
      <c r="I152" s="9"/>
      <c r="J152" s="8"/>
      <c r="K152" s="9"/>
      <c r="L152" s="8"/>
      <c r="M152" s="9"/>
      <c r="N152" s="8"/>
      <c r="O152" s="9"/>
      <c r="P152" s="8"/>
      <c r="Q152" s="9"/>
      <c r="R152" s="9"/>
      <c r="S152" s="8"/>
      <c r="T152" s="9"/>
      <c r="U152" s="8"/>
      <c r="V152" s="9"/>
      <c r="W152" s="8"/>
      <c r="X152" s="9"/>
      <c r="Y152" s="8"/>
      <c r="Z152" s="9"/>
      <c r="AA152" s="8"/>
      <c r="AB152" s="9"/>
      <c r="AC152" s="8"/>
      <c r="AD152" s="9"/>
      <c r="AE152" s="8"/>
      <c r="AF152" s="9"/>
      <c r="AG152" s="8"/>
      <c r="AH152" s="9"/>
      <c r="AI152" s="8"/>
      <c r="AJ152" s="9"/>
      <c r="AK152" s="8"/>
      <c r="AL152" s="9"/>
      <c r="AM152" s="8"/>
      <c r="AN152" s="9"/>
      <c r="AO152" s="8"/>
      <c r="AP152" s="9"/>
      <c r="AQ152" s="8"/>
      <c r="AR152" s="9"/>
      <c r="AS152" s="8"/>
      <c r="AT152" s="9"/>
      <c r="AU152" s="8"/>
      <c r="AV152" s="9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2" t="s">
        <v>186</v>
      </c>
      <c r="BM152" s="8"/>
    </row>
    <row r="153" spans="2:65" ht="12.75">
      <c r="B153" s="2" t="s">
        <v>188</v>
      </c>
      <c r="C153" s="9" t="s">
        <v>189</v>
      </c>
      <c r="D153" s="44"/>
      <c r="E153" s="16">
        <v>9</v>
      </c>
      <c r="F153" s="8" t="s">
        <v>246</v>
      </c>
      <c r="G153" s="9"/>
      <c r="H153" s="8"/>
      <c r="I153" s="9"/>
      <c r="J153" s="8"/>
      <c r="K153" s="9"/>
      <c r="L153" s="8"/>
      <c r="M153" s="9"/>
      <c r="N153" s="8"/>
      <c r="O153" s="9"/>
      <c r="P153" s="8"/>
      <c r="Q153" s="9"/>
      <c r="R153" s="9"/>
      <c r="S153" s="8"/>
      <c r="T153" s="9"/>
      <c r="U153" s="8"/>
      <c r="V153" s="9"/>
      <c r="W153" s="8"/>
      <c r="X153" s="9"/>
      <c r="Y153" s="8"/>
      <c r="Z153" s="9"/>
      <c r="AA153" s="8"/>
      <c r="AB153" s="9"/>
      <c r="AC153" s="8"/>
      <c r="AD153" s="9"/>
      <c r="AE153" s="8"/>
      <c r="AF153" s="9"/>
      <c r="AG153" s="8"/>
      <c r="AH153" s="9"/>
      <c r="AI153" s="8"/>
      <c r="AJ153" s="9"/>
      <c r="AK153" s="8"/>
      <c r="AL153" s="9"/>
      <c r="AM153" s="8"/>
      <c r="AN153" s="9"/>
      <c r="AO153" s="8"/>
      <c r="AP153" s="9"/>
      <c r="AQ153" s="8"/>
      <c r="AR153" s="9"/>
      <c r="AS153" s="8"/>
      <c r="AT153" s="9"/>
      <c r="AU153" s="8"/>
      <c r="AV153" s="9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2" t="s">
        <v>188</v>
      </c>
      <c r="BM153" s="8"/>
    </row>
    <row r="154" spans="2:65" ht="12.75">
      <c r="B154" s="2" t="s">
        <v>190</v>
      </c>
      <c r="C154" s="9" t="s">
        <v>191</v>
      </c>
      <c r="D154" s="44"/>
      <c r="E154" s="16"/>
      <c r="F154" s="8"/>
      <c r="G154" s="9"/>
      <c r="H154" s="8"/>
      <c r="I154" s="9"/>
      <c r="J154" s="8"/>
      <c r="K154" s="9"/>
      <c r="L154" s="8"/>
      <c r="M154" s="9"/>
      <c r="N154" s="8"/>
      <c r="O154" s="9"/>
      <c r="P154" s="8"/>
      <c r="Q154" s="9"/>
      <c r="R154" s="9"/>
      <c r="S154" s="8"/>
      <c r="T154" s="9"/>
      <c r="U154" s="8"/>
      <c r="V154" s="9"/>
      <c r="W154" s="8"/>
      <c r="X154" s="9"/>
      <c r="Y154" s="8"/>
      <c r="Z154" s="9"/>
      <c r="AA154" s="8"/>
      <c r="AB154" s="9"/>
      <c r="AC154" s="8"/>
      <c r="AD154" s="9"/>
      <c r="AE154" s="8"/>
      <c r="AF154" s="9"/>
      <c r="AG154" s="8"/>
      <c r="AH154" s="9"/>
      <c r="AI154" s="8"/>
      <c r="AJ154" s="9"/>
      <c r="AK154" s="8"/>
      <c r="AL154" s="9"/>
      <c r="AM154" s="8"/>
      <c r="AN154" s="9"/>
      <c r="AO154" s="8"/>
      <c r="AP154" s="9"/>
      <c r="AQ154" s="8"/>
      <c r="AR154" s="9"/>
      <c r="AS154" s="8"/>
      <c r="AT154" s="9"/>
      <c r="AU154" s="8"/>
      <c r="AV154" s="9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2" t="s">
        <v>190</v>
      </c>
      <c r="BM154" s="8"/>
    </row>
    <row r="155" spans="2:65" ht="12.75">
      <c r="B155" s="24" t="s">
        <v>192</v>
      </c>
      <c r="C155" s="9" t="s">
        <v>193</v>
      </c>
      <c r="D155" s="44"/>
      <c r="E155" s="16">
        <v>11</v>
      </c>
      <c r="F155" s="8"/>
      <c r="G155" s="9"/>
      <c r="H155" s="8"/>
      <c r="I155" s="9"/>
      <c r="J155" s="8"/>
      <c r="K155" s="9"/>
      <c r="L155" s="8"/>
      <c r="M155" s="9"/>
      <c r="N155" s="8"/>
      <c r="O155" s="9"/>
      <c r="P155" s="8"/>
      <c r="Q155" s="9"/>
      <c r="R155" s="9"/>
      <c r="S155" s="8"/>
      <c r="T155" s="9"/>
      <c r="U155" s="8"/>
      <c r="V155" s="9"/>
      <c r="W155" s="8"/>
      <c r="X155" s="9"/>
      <c r="Y155" s="8"/>
      <c r="Z155" s="9"/>
      <c r="AA155" s="8"/>
      <c r="AB155" s="9"/>
      <c r="AC155" s="8"/>
      <c r="AD155" s="9"/>
      <c r="AE155" s="8"/>
      <c r="AF155" s="9"/>
      <c r="AG155" s="8"/>
      <c r="AH155" s="9"/>
      <c r="AI155" s="8"/>
      <c r="AJ155" s="9"/>
      <c r="AK155" s="8"/>
      <c r="AL155" s="9"/>
      <c r="AM155" s="8"/>
      <c r="AN155" s="9"/>
      <c r="AO155" s="8"/>
      <c r="AP155" s="9"/>
      <c r="AQ155" s="8"/>
      <c r="AR155" s="9"/>
      <c r="AS155" s="8"/>
      <c r="AT155" s="9"/>
      <c r="AU155" s="8"/>
      <c r="AV155" s="9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24" t="s">
        <v>192</v>
      </c>
      <c r="BM155" s="8"/>
    </row>
    <row r="156" spans="2:65" ht="12.75">
      <c r="D156" s="8"/>
      <c r="E156" s="9"/>
      <c r="F156" s="8"/>
      <c r="G156" s="9"/>
      <c r="H156" s="8"/>
      <c r="I156" s="9"/>
      <c r="J156" s="8"/>
      <c r="K156" s="9"/>
      <c r="L156" s="8"/>
      <c r="M156" s="9"/>
      <c r="N156" s="8"/>
      <c r="O156" s="9"/>
      <c r="P156" s="8"/>
      <c r="Q156" s="9"/>
      <c r="R156" s="9"/>
      <c r="S156" s="8"/>
      <c r="T156" s="9"/>
      <c r="U156" s="8"/>
      <c r="V156" s="9"/>
      <c r="W156" s="8"/>
      <c r="X156" s="9"/>
      <c r="Y156" s="8"/>
      <c r="Z156" s="9"/>
      <c r="AA156" s="8"/>
      <c r="AB156" s="9"/>
      <c r="AC156" s="8"/>
      <c r="AD156" s="9"/>
      <c r="AE156" s="8"/>
      <c r="AF156" s="9"/>
      <c r="AG156" s="8"/>
      <c r="AH156" s="9"/>
      <c r="AI156" s="8"/>
      <c r="AJ156" s="9"/>
      <c r="AK156" s="8"/>
      <c r="AL156" s="9"/>
      <c r="AM156" s="8"/>
      <c r="AN156" s="9"/>
      <c r="AO156" s="8"/>
      <c r="AP156" s="9"/>
      <c r="AQ156" s="8"/>
      <c r="AR156" s="9"/>
      <c r="AS156" s="8"/>
      <c r="AT156" s="9"/>
      <c r="AU156" s="8"/>
      <c r="AV156" s="9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M156" s="8"/>
    </row>
    <row r="157" spans="2:65" ht="12.75">
      <c r="B157" s="17" t="s">
        <v>194</v>
      </c>
      <c r="C157" s="9"/>
      <c r="D157" s="8"/>
      <c r="E157" s="9"/>
      <c r="F157" s="8"/>
      <c r="G157" s="9"/>
      <c r="H157" s="8"/>
      <c r="I157" s="9"/>
      <c r="J157" s="8"/>
      <c r="K157" s="9"/>
      <c r="L157" s="8"/>
      <c r="M157" s="9"/>
      <c r="N157" s="8"/>
      <c r="O157" s="9"/>
      <c r="P157" s="8"/>
      <c r="Q157" s="9"/>
      <c r="R157" s="9"/>
      <c r="S157" s="8"/>
      <c r="T157" s="9"/>
      <c r="U157" s="8"/>
      <c r="V157" s="9"/>
      <c r="W157" s="8"/>
      <c r="X157" s="9"/>
      <c r="Y157" s="8"/>
      <c r="Z157" s="9"/>
      <c r="AA157" s="8"/>
      <c r="AB157" s="9"/>
      <c r="AC157" s="8"/>
      <c r="AD157" s="9"/>
      <c r="AE157" s="8"/>
      <c r="AF157" s="9"/>
      <c r="AG157" s="8"/>
      <c r="AH157" s="9"/>
      <c r="AI157" s="8"/>
      <c r="AJ157" s="9"/>
      <c r="AK157" s="8"/>
      <c r="AL157" s="9"/>
      <c r="AM157" s="8"/>
      <c r="AN157" s="9"/>
      <c r="AO157" s="8"/>
      <c r="AP157" s="9"/>
      <c r="AQ157" s="8"/>
      <c r="AR157" s="9"/>
      <c r="AS157" s="8"/>
      <c r="AT157" s="9"/>
      <c r="AU157" s="8"/>
      <c r="AV157" s="9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17" t="s">
        <v>194</v>
      </c>
      <c r="BM157" s="8"/>
    </row>
    <row r="158" spans="2:65" ht="12.75">
      <c r="B158" s="25" t="s">
        <v>195</v>
      </c>
      <c r="C158" s="9"/>
      <c r="D158" s="8"/>
      <c r="E158" s="9"/>
      <c r="F158" s="8"/>
      <c r="G158" s="9"/>
      <c r="H158" s="8"/>
      <c r="I158" s="9"/>
      <c r="J158" s="8"/>
      <c r="K158" s="9"/>
      <c r="L158" s="8"/>
      <c r="M158" s="9"/>
      <c r="N158" s="8"/>
      <c r="O158" s="9"/>
      <c r="P158" s="8"/>
      <c r="Q158" s="9"/>
      <c r="R158" s="9"/>
      <c r="S158" s="8"/>
      <c r="T158" s="9"/>
      <c r="U158" s="8"/>
      <c r="V158" s="9"/>
      <c r="W158" s="8"/>
      <c r="X158" s="9"/>
      <c r="Y158" s="8"/>
      <c r="Z158" s="9"/>
      <c r="AA158" s="8"/>
      <c r="AB158" s="9"/>
      <c r="AC158" s="8"/>
      <c r="AD158" s="9"/>
      <c r="AE158" s="8"/>
      <c r="AF158" s="9"/>
      <c r="AG158" s="8"/>
      <c r="AH158" s="9"/>
      <c r="AI158" s="8"/>
      <c r="AJ158" s="9"/>
      <c r="AK158" s="8"/>
      <c r="AL158" s="9"/>
      <c r="AM158" s="8"/>
      <c r="AN158" s="9"/>
      <c r="AO158" s="8"/>
      <c r="AP158" s="9"/>
      <c r="AQ158" s="8"/>
      <c r="AR158" s="9"/>
      <c r="AS158" s="8"/>
      <c r="AT158" s="9"/>
      <c r="AU158" s="8"/>
      <c r="AV158" s="9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25" t="s">
        <v>195</v>
      </c>
      <c r="BM158" s="8"/>
    </row>
    <row r="159" spans="2:65" ht="12.75">
      <c r="B159" s="2" t="s">
        <v>196</v>
      </c>
      <c r="C159" s="9"/>
      <c r="D159" s="8"/>
      <c r="E159" s="9"/>
      <c r="F159" s="8"/>
      <c r="G159" s="9"/>
      <c r="H159" s="8"/>
      <c r="I159" s="9"/>
      <c r="J159" s="8"/>
      <c r="K159" s="9"/>
      <c r="L159" s="8"/>
      <c r="M159" s="9"/>
      <c r="N159" s="8"/>
      <c r="O159" s="9"/>
      <c r="P159" s="8"/>
      <c r="Q159" s="9"/>
      <c r="R159" s="9"/>
      <c r="S159" s="8"/>
      <c r="T159" s="9"/>
      <c r="U159" s="8"/>
      <c r="V159" s="9"/>
      <c r="W159" s="8"/>
      <c r="X159" s="9"/>
      <c r="Y159" s="8"/>
      <c r="Z159" s="9"/>
      <c r="AA159" s="8"/>
      <c r="AB159" s="9"/>
      <c r="AC159" s="8"/>
      <c r="AD159" s="9"/>
      <c r="AE159" s="8"/>
      <c r="AF159" s="9"/>
      <c r="AG159" s="8"/>
      <c r="AH159" s="9"/>
      <c r="AI159" s="8"/>
      <c r="AJ159" s="9"/>
      <c r="AK159" s="8"/>
      <c r="AL159" s="9"/>
      <c r="AM159" s="8"/>
      <c r="AN159" s="9"/>
      <c r="AO159" s="8"/>
      <c r="AP159" s="9"/>
      <c r="AQ159" s="8"/>
      <c r="AR159" s="9"/>
      <c r="AS159" s="8"/>
      <c r="AT159" s="9"/>
      <c r="AU159" s="8"/>
      <c r="AV159" s="9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2" t="s">
        <v>196</v>
      </c>
      <c r="BM159" s="8"/>
    </row>
    <row r="160" spans="2:65" ht="12.75">
      <c r="C160" s="9"/>
      <c r="D160" s="8"/>
      <c r="E160" s="9"/>
      <c r="F160" s="8"/>
      <c r="G160" s="9"/>
      <c r="H160" s="8"/>
      <c r="I160" s="9"/>
      <c r="J160" s="8"/>
      <c r="K160" s="9"/>
      <c r="L160" s="8"/>
      <c r="M160" s="9"/>
      <c r="N160" s="8"/>
      <c r="O160" s="9"/>
      <c r="P160" s="8"/>
      <c r="Q160" s="9"/>
      <c r="R160" s="9"/>
      <c r="S160" s="8"/>
      <c r="T160" s="9"/>
      <c r="U160" s="8"/>
      <c r="V160" s="9"/>
      <c r="W160" s="8"/>
      <c r="X160" s="9"/>
      <c r="Y160" s="8"/>
      <c r="Z160" s="9"/>
      <c r="AA160" s="8"/>
      <c r="AB160" s="9"/>
      <c r="AC160" s="8"/>
      <c r="AD160" s="9"/>
      <c r="AE160" s="8"/>
      <c r="AF160" s="9"/>
      <c r="AG160" s="8"/>
      <c r="AH160" s="9"/>
      <c r="AI160" s="8"/>
      <c r="AJ160" s="9"/>
      <c r="AK160" s="8"/>
      <c r="AL160" s="9"/>
      <c r="AM160" s="8"/>
      <c r="AN160" s="9"/>
      <c r="AO160" s="8"/>
      <c r="AP160" s="9"/>
      <c r="AQ160" s="8"/>
      <c r="AR160" s="9"/>
      <c r="AS160" s="8"/>
      <c r="AT160" s="9"/>
      <c r="AU160" s="8"/>
      <c r="AV160" s="9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M160" s="8"/>
    </row>
    <row r="161" spans="2:65" ht="12.75">
      <c r="B161" s="1" t="s">
        <v>197</v>
      </c>
      <c r="C161" s="9"/>
      <c r="D161" s="8"/>
      <c r="E161" s="9"/>
      <c r="F161" s="8"/>
      <c r="G161" s="9"/>
      <c r="H161" s="8"/>
      <c r="I161" s="9"/>
      <c r="J161" s="8"/>
      <c r="K161" s="9"/>
      <c r="L161" s="8"/>
      <c r="M161" s="9"/>
      <c r="N161" s="8"/>
      <c r="O161" s="9"/>
      <c r="P161" s="8"/>
      <c r="Q161" s="9"/>
      <c r="R161" s="9"/>
      <c r="S161" s="8"/>
      <c r="T161" s="9"/>
      <c r="U161" s="8"/>
      <c r="V161" s="9"/>
      <c r="W161" s="8"/>
      <c r="X161" s="9"/>
      <c r="Y161" s="8"/>
      <c r="Z161" s="9"/>
      <c r="AA161" s="8"/>
      <c r="AB161" s="9"/>
      <c r="AC161" s="8"/>
      <c r="AD161" s="9"/>
      <c r="AE161" s="8"/>
      <c r="AF161" s="9"/>
      <c r="AG161" s="8"/>
      <c r="AH161" s="9"/>
      <c r="AI161" s="8"/>
      <c r="AJ161" s="9"/>
      <c r="AK161" s="8"/>
      <c r="AL161" s="9"/>
      <c r="AM161" s="8"/>
      <c r="AN161" s="9"/>
      <c r="AO161" s="8"/>
      <c r="AP161" s="9"/>
      <c r="AQ161" s="8"/>
      <c r="AR161" s="9"/>
      <c r="AS161" s="8"/>
      <c r="AT161" s="9"/>
      <c r="AU161" s="8"/>
      <c r="AV161" s="9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1" t="s">
        <v>197</v>
      </c>
      <c r="BM161" s="8"/>
    </row>
    <row r="162" spans="2:65" ht="12.75">
      <c r="B162" s="25" t="s">
        <v>199</v>
      </c>
      <c r="C162" s="9" t="s">
        <v>200</v>
      </c>
      <c r="D162" s="2" t="s">
        <v>198</v>
      </c>
      <c r="E162" s="16"/>
      <c r="F162" s="2" t="s">
        <v>198</v>
      </c>
      <c r="G162" s="16"/>
      <c r="H162" s="2" t="s">
        <v>198</v>
      </c>
      <c r="I162" s="16"/>
      <c r="J162" s="2" t="s">
        <v>198</v>
      </c>
      <c r="K162" s="16"/>
      <c r="L162" s="2" t="s">
        <v>198</v>
      </c>
      <c r="M162" s="16"/>
      <c r="N162" s="2" t="s">
        <v>198</v>
      </c>
      <c r="O162" s="16"/>
      <c r="Q162" s="16"/>
      <c r="R162" s="16"/>
      <c r="T162" s="16"/>
      <c r="V162" s="16"/>
      <c r="X162" s="16"/>
      <c r="Z162" s="16"/>
      <c r="AB162" s="16"/>
      <c r="AD162" s="16"/>
      <c r="AF162" s="16"/>
      <c r="AH162" s="16"/>
      <c r="AJ162" s="16"/>
      <c r="AL162" s="16"/>
      <c r="AN162" s="16"/>
      <c r="AP162" s="16"/>
      <c r="AR162" s="16"/>
      <c r="AT162" s="16"/>
      <c r="AV162" s="16"/>
      <c r="BL162" s="25" t="s">
        <v>199</v>
      </c>
    </row>
    <row r="163" spans="2:65" ht="12.75">
      <c r="B163" s="2" t="s">
        <v>273</v>
      </c>
      <c r="C163" s="44" t="s">
        <v>274</v>
      </c>
      <c r="D163" s="39"/>
      <c r="E163" s="16"/>
      <c r="F163" s="2"/>
      <c r="G163" s="16"/>
      <c r="H163" s="2"/>
      <c r="I163" s="16"/>
      <c r="J163" s="2"/>
      <c r="K163" s="16"/>
      <c r="L163" s="2"/>
      <c r="M163" s="16"/>
      <c r="N163" s="2"/>
      <c r="O163" s="16"/>
      <c r="Q163" s="16"/>
      <c r="R163" s="16"/>
      <c r="T163" s="16"/>
      <c r="V163" s="16"/>
      <c r="X163" s="16"/>
      <c r="Z163" s="16"/>
      <c r="AB163" s="16"/>
      <c r="AD163" s="16"/>
      <c r="AF163" s="16"/>
      <c r="AH163" s="16"/>
      <c r="AJ163" s="16"/>
      <c r="AL163" s="16"/>
      <c r="AN163" s="16"/>
      <c r="AP163" s="16"/>
      <c r="AR163" s="16"/>
      <c r="AT163" s="16"/>
      <c r="AV163" s="16"/>
      <c r="BL163" s="2" t="s">
        <v>273</v>
      </c>
    </row>
    <row r="164" spans="2:65" ht="12.75">
      <c r="B164" t="s">
        <v>250</v>
      </c>
      <c r="C164" s="8" t="s">
        <v>251</v>
      </c>
      <c r="D164" s="39"/>
      <c r="E164" s="16"/>
      <c r="F164" s="2"/>
      <c r="G164" s="16"/>
      <c r="H164" s="2"/>
      <c r="I164" s="16"/>
      <c r="J164" s="2"/>
      <c r="K164" s="16"/>
      <c r="L164" s="2"/>
      <c r="M164" s="16"/>
      <c r="N164" s="2"/>
      <c r="O164" s="16"/>
      <c r="Q164" s="16"/>
      <c r="R164" s="16"/>
      <c r="T164" s="16"/>
      <c r="V164" s="16"/>
      <c r="X164" s="16"/>
      <c r="Z164" s="16"/>
      <c r="AB164" s="16"/>
      <c r="AD164" s="16"/>
      <c r="AF164" s="16"/>
      <c r="AH164" s="16"/>
      <c r="AJ164" s="16"/>
      <c r="AL164" s="16"/>
      <c r="AN164" s="16"/>
      <c r="AP164" s="16"/>
      <c r="AR164" s="16"/>
      <c r="AT164" s="16"/>
      <c r="AV164" s="16"/>
      <c r="BL164" t="s">
        <v>250</v>
      </c>
    </row>
    <row r="165" spans="2:65" ht="12.75">
      <c r="C165" s="8"/>
      <c r="D165" s="39"/>
      <c r="E165" s="16"/>
      <c r="F165" s="2"/>
      <c r="G165" s="16"/>
      <c r="H165" s="2"/>
      <c r="I165" s="16"/>
      <c r="J165" s="2"/>
      <c r="K165" s="16"/>
      <c r="L165" s="2"/>
      <c r="M165" s="16"/>
      <c r="N165" s="2"/>
      <c r="O165" s="16"/>
      <c r="Q165" s="16"/>
      <c r="R165" s="16"/>
      <c r="T165" s="16"/>
      <c r="V165" s="16"/>
      <c r="X165" s="16"/>
      <c r="Z165" s="16"/>
      <c r="AB165" s="16"/>
      <c r="AD165" s="16"/>
      <c r="AF165" s="16"/>
      <c r="AH165" s="16"/>
      <c r="AJ165" s="16"/>
      <c r="AL165" s="16"/>
      <c r="AN165" s="16"/>
      <c r="AP165" s="16"/>
      <c r="AR165" s="16"/>
      <c r="AT165" s="16"/>
      <c r="AV165" s="16"/>
    </row>
    <row r="166" spans="2:65" ht="12.75">
      <c r="E166" s="16"/>
      <c r="G166" s="16"/>
      <c r="I166" s="16"/>
      <c r="K166" s="16"/>
      <c r="M166" s="16"/>
      <c r="O166" s="16"/>
      <c r="Q166" s="16"/>
      <c r="R166" s="16"/>
      <c r="T166" s="16"/>
      <c r="V166" s="16"/>
      <c r="X166" s="16"/>
      <c r="Z166" s="16"/>
      <c r="AB166" s="16"/>
      <c r="AD166" s="16"/>
      <c r="AF166" s="16"/>
      <c r="AH166" s="16"/>
      <c r="AJ166" s="16"/>
      <c r="AL166" s="16"/>
      <c r="AN166" s="16"/>
      <c r="AP166" s="16"/>
      <c r="AR166" s="16"/>
      <c r="AT166" s="16"/>
      <c r="AV166" s="16"/>
    </row>
    <row r="167" spans="2:65" ht="12.75">
      <c r="B167" s="1" t="s">
        <v>201</v>
      </c>
      <c r="C167" s="16"/>
      <c r="E167" s="16"/>
      <c r="G167" s="16"/>
      <c r="I167" s="16"/>
      <c r="K167" s="16"/>
      <c r="M167" s="16"/>
      <c r="O167" s="16"/>
      <c r="Q167" s="16"/>
      <c r="R167" s="16"/>
      <c r="T167" s="16"/>
      <c r="V167" s="16"/>
      <c r="X167" s="16"/>
      <c r="Z167" s="16"/>
      <c r="AB167" s="16"/>
      <c r="AD167" s="16"/>
      <c r="AF167" s="16"/>
      <c r="AH167" s="16"/>
      <c r="AJ167" s="16"/>
      <c r="AL167" s="16"/>
      <c r="AN167" s="16"/>
      <c r="AP167" s="16"/>
      <c r="AR167" s="16"/>
      <c r="AT167" s="16"/>
      <c r="AV167" s="16"/>
      <c r="BL167" s="1" t="s">
        <v>201</v>
      </c>
    </row>
    <row r="168" spans="2:65" ht="15">
      <c r="B168" s="4" t="s">
        <v>202</v>
      </c>
      <c r="C168" s="16"/>
      <c r="E168" s="16"/>
      <c r="G168" s="16"/>
      <c r="I168" s="16"/>
      <c r="K168" s="16"/>
      <c r="M168" s="16"/>
      <c r="O168" s="16"/>
      <c r="Q168" s="16"/>
      <c r="R168" s="16"/>
      <c r="T168" s="16"/>
      <c r="V168" s="16"/>
      <c r="X168" s="16"/>
      <c r="Z168" s="16"/>
      <c r="AB168" s="16"/>
      <c r="AD168" s="16"/>
      <c r="AF168" s="16"/>
      <c r="AH168" s="16"/>
      <c r="AJ168" s="16"/>
      <c r="AL168" s="16"/>
      <c r="AN168" s="16"/>
      <c r="AP168" s="16"/>
      <c r="AR168" s="16"/>
      <c r="AT168" s="16"/>
      <c r="AV168" s="16"/>
      <c r="BL168" s="4" t="s">
        <v>202</v>
      </c>
    </row>
    <row r="169" spans="2:65" ht="15">
      <c r="B169" s="4" t="s">
        <v>203</v>
      </c>
      <c r="C169" s="16"/>
      <c r="E169" s="16"/>
      <c r="G169" s="16"/>
      <c r="I169" s="16"/>
      <c r="K169" s="16"/>
      <c r="M169" s="16"/>
      <c r="O169" s="16"/>
      <c r="Q169" s="16"/>
      <c r="R169" s="16"/>
      <c r="T169" s="16"/>
      <c r="V169" s="16"/>
      <c r="X169" s="16"/>
      <c r="Z169" s="16"/>
      <c r="AB169" s="16"/>
      <c r="AD169" s="16"/>
      <c r="AF169" s="16"/>
      <c r="AH169" s="16"/>
      <c r="AJ169" s="16"/>
      <c r="AL169" s="16"/>
      <c r="AN169" s="16"/>
      <c r="AP169" s="16"/>
      <c r="AR169" s="16"/>
      <c r="AT169" s="16"/>
      <c r="AV169" s="16"/>
      <c r="BL169" s="4" t="s">
        <v>203</v>
      </c>
    </row>
    <row r="170" spans="2:65" ht="15">
      <c r="B170" s="4" t="s">
        <v>58</v>
      </c>
      <c r="C170" s="16"/>
      <c r="E170" s="16"/>
      <c r="G170" s="16"/>
      <c r="I170" s="16"/>
      <c r="K170" s="16"/>
      <c r="M170" s="16"/>
      <c r="O170" s="16"/>
      <c r="Q170" s="16"/>
      <c r="R170" s="16"/>
      <c r="T170" s="16"/>
      <c r="V170" s="16"/>
      <c r="X170" s="16"/>
      <c r="Z170" s="16"/>
      <c r="AB170" s="16"/>
      <c r="AD170" s="16"/>
      <c r="AF170" s="16"/>
      <c r="AH170" s="16"/>
      <c r="AJ170" s="16"/>
      <c r="AL170" s="16"/>
      <c r="AN170" s="16"/>
      <c r="AP170" s="16"/>
      <c r="AR170" s="16"/>
      <c r="AT170" s="16"/>
      <c r="AV170" s="16"/>
      <c r="BL170" s="4" t="s">
        <v>58</v>
      </c>
    </row>
    <row r="171" spans="2:65" ht="15">
      <c r="B171" s="4" t="s">
        <v>83</v>
      </c>
      <c r="C171" s="16"/>
      <c r="E171" s="16"/>
      <c r="G171" s="16"/>
      <c r="I171" s="16"/>
      <c r="K171" s="16"/>
      <c r="M171" s="16"/>
      <c r="O171" s="16"/>
      <c r="Q171" s="16"/>
      <c r="R171" s="16"/>
      <c r="T171" s="16"/>
      <c r="V171" s="16"/>
      <c r="X171" s="16"/>
      <c r="Z171" s="16"/>
      <c r="AB171" s="16"/>
      <c r="AD171" s="16"/>
      <c r="AF171" s="16"/>
      <c r="AH171" s="16"/>
      <c r="AJ171" s="16"/>
      <c r="AL171" s="16"/>
      <c r="AN171" s="16"/>
      <c r="AP171" s="16"/>
      <c r="AR171" s="16"/>
      <c r="AT171" s="16"/>
      <c r="AV171" s="16"/>
      <c r="BL171" s="4" t="s">
        <v>83</v>
      </c>
    </row>
    <row r="172" spans="2:65" ht="15">
      <c r="B172" s="4" t="s">
        <v>112</v>
      </c>
      <c r="C172" s="16"/>
      <c r="E172" s="16"/>
      <c r="G172" s="16"/>
      <c r="I172" s="16"/>
      <c r="K172" s="16"/>
      <c r="M172" s="16"/>
      <c r="O172" s="16"/>
      <c r="Q172" s="16"/>
      <c r="R172" s="16"/>
      <c r="T172" s="16"/>
      <c r="V172" s="16"/>
      <c r="X172" s="16"/>
      <c r="Z172" s="16"/>
      <c r="AB172" s="16"/>
      <c r="AD172" s="16"/>
      <c r="AF172" s="16"/>
      <c r="AH172" s="16"/>
      <c r="AJ172" s="16"/>
      <c r="AL172" s="16"/>
      <c r="AN172" s="16"/>
      <c r="AP172" s="16"/>
      <c r="AR172" s="16"/>
      <c r="AT172" s="16"/>
      <c r="AV172" s="16"/>
      <c r="BL172" s="4" t="s">
        <v>112</v>
      </c>
    </row>
    <row r="173" spans="2:65" ht="15">
      <c r="B173" s="4" t="s">
        <v>130</v>
      </c>
      <c r="C173" s="16"/>
      <c r="E173" s="16"/>
      <c r="G173" s="16"/>
      <c r="I173" s="16"/>
      <c r="K173" s="16"/>
      <c r="M173" s="16"/>
      <c r="O173" s="16"/>
      <c r="Q173" s="16"/>
      <c r="R173" s="16"/>
      <c r="T173" s="16"/>
      <c r="V173" s="16"/>
      <c r="X173" s="16"/>
      <c r="Z173" s="16"/>
      <c r="AB173" s="16"/>
      <c r="AD173" s="16"/>
      <c r="AF173" s="16"/>
      <c r="AH173" s="16"/>
      <c r="AJ173" s="16"/>
      <c r="AL173" s="16"/>
      <c r="AN173" s="16"/>
      <c r="AP173" s="16"/>
      <c r="AR173" s="16"/>
      <c r="AT173" s="16"/>
      <c r="AV173" s="16"/>
      <c r="BL173" s="4" t="s">
        <v>130</v>
      </c>
    </row>
    <row r="174" spans="2:65" ht="15">
      <c r="B174" s="4" t="s">
        <v>134</v>
      </c>
      <c r="C174" s="16" t="s">
        <v>235</v>
      </c>
      <c r="D174" t="s">
        <v>79</v>
      </c>
      <c r="E174" s="16"/>
      <c r="G174" s="16"/>
      <c r="I174" s="16"/>
      <c r="K174" s="16"/>
      <c r="M174" s="16"/>
      <c r="O174" s="16"/>
      <c r="Q174" s="16"/>
      <c r="R174" s="16"/>
      <c r="T174" s="16"/>
      <c r="V174" s="16"/>
      <c r="X174" s="16"/>
      <c r="Z174" s="16"/>
      <c r="AB174" s="16"/>
      <c r="AD174" s="16"/>
      <c r="AF174" s="16"/>
      <c r="AH174" s="16"/>
      <c r="AJ174" s="16"/>
      <c r="AL174" s="16"/>
      <c r="AN174" s="16"/>
      <c r="AP174" s="16"/>
      <c r="AR174" s="16"/>
      <c r="AT174" s="16"/>
      <c r="AV174" s="16"/>
      <c r="BL174" s="4" t="s">
        <v>134</v>
      </c>
    </row>
    <row r="175" spans="2:65" ht="15">
      <c r="B175" s="4" t="s">
        <v>136</v>
      </c>
      <c r="C175" s="16"/>
      <c r="E175" s="16"/>
      <c r="G175" s="16"/>
      <c r="I175" s="16"/>
      <c r="K175" s="16"/>
      <c r="M175" s="16"/>
      <c r="O175" s="16"/>
      <c r="Q175" s="16"/>
      <c r="R175" s="16"/>
      <c r="T175" s="16"/>
      <c r="V175" s="16"/>
      <c r="X175" s="16"/>
      <c r="Z175" s="16"/>
      <c r="AB175" s="16"/>
      <c r="AD175" s="16"/>
      <c r="AF175" s="16"/>
      <c r="AH175" s="16"/>
      <c r="AJ175" s="16"/>
      <c r="AL175" s="16"/>
      <c r="AN175" s="16"/>
      <c r="AP175" s="16"/>
      <c r="AR175" s="16"/>
      <c r="AT175" s="16"/>
      <c r="AV175" s="16"/>
      <c r="BL175" s="4" t="s">
        <v>136</v>
      </c>
    </row>
    <row r="176" spans="2:65" ht="15">
      <c r="B176" s="4" t="s">
        <v>147</v>
      </c>
      <c r="C176" s="16"/>
      <c r="E176" s="16"/>
      <c r="G176" s="16"/>
      <c r="I176" s="16"/>
      <c r="K176" s="16"/>
      <c r="M176" s="16"/>
      <c r="O176" s="16"/>
      <c r="Q176" s="16"/>
      <c r="R176" s="16"/>
      <c r="T176" s="16"/>
      <c r="V176" s="16"/>
      <c r="X176" s="16"/>
      <c r="Z176" s="16"/>
      <c r="AB176" s="16"/>
      <c r="AD176" s="16"/>
      <c r="AF176" s="16"/>
      <c r="AH176" s="16"/>
      <c r="AJ176" s="16"/>
      <c r="AL176" s="16"/>
      <c r="AN176" s="16"/>
      <c r="AP176" s="16"/>
      <c r="AR176" s="16"/>
      <c r="AT176" s="16"/>
      <c r="AV176" s="16"/>
      <c r="BL176" s="4" t="s">
        <v>147</v>
      </c>
    </row>
    <row r="177" spans="2:64" ht="15">
      <c r="B177" s="4" t="s">
        <v>165</v>
      </c>
      <c r="C177" s="9" t="s">
        <v>166</v>
      </c>
      <c r="D177" s="8"/>
      <c r="E177" s="9"/>
      <c r="G177" s="16"/>
      <c r="I177" s="16"/>
      <c r="K177" s="16"/>
      <c r="M177" s="16"/>
      <c r="O177" s="16"/>
      <c r="Q177" s="16"/>
      <c r="R177" s="16"/>
      <c r="T177" s="16"/>
      <c r="V177" s="16"/>
      <c r="X177" s="16"/>
      <c r="Z177" s="16"/>
      <c r="AB177" s="16"/>
      <c r="AD177" s="16"/>
      <c r="AF177" s="16"/>
      <c r="AH177" s="16"/>
      <c r="AJ177" s="16"/>
      <c r="AL177" s="16"/>
      <c r="AN177" s="16"/>
      <c r="AP177" s="16"/>
      <c r="AR177" s="16"/>
      <c r="AT177" s="16"/>
      <c r="AV177" s="16"/>
      <c r="BL177" s="4" t="s">
        <v>165</v>
      </c>
    </row>
    <row r="178" spans="2:64" ht="15">
      <c r="B178" s="4" t="s">
        <v>153</v>
      </c>
      <c r="C178" s="9" t="s">
        <v>154</v>
      </c>
      <c r="D178" s="8"/>
      <c r="E178" s="16"/>
      <c r="G178" s="16"/>
      <c r="I178" s="16"/>
      <c r="K178" s="16"/>
      <c r="M178" s="16"/>
      <c r="O178" s="16"/>
      <c r="Q178" s="16"/>
      <c r="R178" s="16"/>
      <c r="T178" s="16"/>
      <c r="V178" s="16"/>
      <c r="X178" s="16"/>
      <c r="Z178" s="16"/>
      <c r="AB178" s="16"/>
      <c r="AD178" s="16"/>
      <c r="AF178" s="16"/>
      <c r="AH178" s="16"/>
      <c r="AJ178" s="16"/>
      <c r="AL178" s="16"/>
      <c r="AN178" s="16"/>
      <c r="AP178" s="16"/>
      <c r="AR178" s="16"/>
      <c r="AT178" s="16"/>
      <c r="AV178" s="16"/>
      <c r="BL178" s="4" t="s">
        <v>153</v>
      </c>
    </row>
    <row r="179" spans="2:64" ht="12.75">
      <c r="C179" s="16"/>
      <c r="E179" s="16"/>
      <c r="G179" s="16"/>
      <c r="I179" s="16"/>
      <c r="K179" s="16"/>
      <c r="M179" s="16"/>
      <c r="O179" s="16"/>
      <c r="Q179" s="16"/>
      <c r="R179" s="16"/>
      <c r="T179" s="16"/>
      <c r="V179" s="16"/>
      <c r="X179" s="16"/>
      <c r="Z179" s="16"/>
      <c r="AB179" s="16"/>
      <c r="AD179" s="16"/>
      <c r="AF179" s="16"/>
      <c r="AH179" s="16"/>
      <c r="AJ179" s="16"/>
      <c r="AL179" s="16"/>
      <c r="AN179" s="16"/>
      <c r="AP179" s="16"/>
      <c r="AR179" s="16"/>
      <c r="AT179" s="16"/>
      <c r="AV179" s="16"/>
    </row>
    <row r="180" spans="2:64" ht="14.25">
      <c r="B180" s="26" t="s">
        <v>204</v>
      </c>
      <c r="C180" s="16"/>
      <c r="D180" s="47">
        <v>45945</v>
      </c>
      <c r="E180" s="16"/>
      <c r="G180" s="16"/>
      <c r="I180" s="16"/>
      <c r="K180" s="16"/>
      <c r="M180" s="16"/>
      <c r="O180" s="16"/>
      <c r="Q180" s="16"/>
      <c r="R180" s="16"/>
      <c r="T180" s="16"/>
      <c r="V180" s="16"/>
      <c r="X180" s="16"/>
      <c r="Z180" s="16"/>
      <c r="AB180" s="16"/>
      <c r="AD180" s="16"/>
      <c r="AF180" s="16"/>
      <c r="AH180" s="16"/>
      <c r="AJ180" s="16"/>
      <c r="AL180" s="16"/>
      <c r="AN180" s="16"/>
      <c r="AP180" s="16"/>
      <c r="AR180" s="16"/>
      <c r="AT180" s="16"/>
      <c r="AV180" s="16"/>
      <c r="BL180" s="26" t="s">
        <v>204</v>
      </c>
    </row>
    <row r="181" spans="2:64" ht="14.25">
      <c r="B181" s="27" t="s">
        <v>205</v>
      </c>
      <c r="C181" s="16"/>
      <c r="D181" s="46">
        <v>15589.96</v>
      </c>
      <c r="E181" s="16"/>
      <c r="G181" s="16"/>
      <c r="I181" s="16"/>
      <c r="K181" s="16"/>
      <c r="M181" s="16"/>
      <c r="O181" s="16"/>
      <c r="Q181" s="16"/>
      <c r="R181" s="16"/>
      <c r="T181" s="16"/>
      <c r="V181" s="16"/>
      <c r="X181" s="16"/>
      <c r="Z181" s="16"/>
      <c r="AB181" s="16"/>
      <c r="AD181" s="16"/>
      <c r="AF181" s="16"/>
      <c r="AH181" s="16"/>
      <c r="AJ181" s="16"/>
      <c r="AL181" s="16"/>
      <c r="AN181" s="16"/>
      <c r="AP181" s="16"/>
      <c r="AR181" s="16"/>
      <c r="AT181" s="16"/>
      <c r="AV181" s="16"/>
      <c r="BL181" s="27" t="s">
        <v>205</v>
      </c>
    </row>
    <row r="182" spans="2:64" ht="12.75">
      <c r="B182" s="28" t="s">
        <v>206</v>
      </c>
      <c r="C182" s="16"/>
      <c r="E182" s="16"/>
      <c r="G182" s="16"/>
      <c r="I182" s="16"/>
      <c r="K182" s="16"/>
      <c r="M182" s="16"/>
      <c r="O182" s="16"/>
      <c r="Q182" s="16"/>
      <c r="R182" s="16"/>
      <c r="T182" s="16"/>
      <c r="V182" s="16"/>
      <c r="X182" s="16"/>
      <c r="Z182" s="16"/>
      <c r="AB182" s="16"/>
      <c r="AD182" s="16"/>
      <c r="AF182" s="16"/>
      <c r="AH182" s="16"/>
      <c r="AJ182" s="16"/>
      <c r="AL182" s="16"/>
      <c r="AN182" s="16"/>
      <c r="AP182" s="16"/>
      <c r="AR182" s="16"/>
      <c r="AT182" s="16"/>
      <c r="AV182" s="16"/>
      <c r="BL182" s="28" t="s">
        <v>206</v>
      </c>
    </row>
    <row r="183" spans="2:64" ht="12.75">
      <c r="C183" s="16"/>
      <c r="E183" s="16"/>
      <c r="G183" s="16"/>
      <c r="I183" s="16"/>
      <c r="K183" s="16"/>
      <c r="M183" s="16"/>
      <c r="O183" s="16"/>
      <c r="Q183" s="16"/>
      <c r="R183" s="16"/>
      <c r="T183" s="16"/>
      <c r="V183" s="16"/>
      <c r="X183" s="16"/>
      <c r="Z183" s="16"/>
      <c r="AB183" s="16"/>
      <c r="AD183" s="16"/>
      <c r="AF183" s="16"/>
      <c r="AH183" s="16"/>
      <c r="AJ183" s="16"/>
      <c r="AL183" s="16"/>
      <c r="AN183" s="16"/>
      <c r="AP183" s="16"/>
      <c r="AR183" s="16"/>
      <c r="AT183" s="16"/>
      <c r="AV183" s="16"/>
    </row>
    <row r="184" spans="2:64" ht="12.75">
      <c r="B184" s="2" t="s">
        <v>207</v>
      </c>
      <c r="C184" s="16"/>
      <c r="E184" s="16"/>
      <c r="G184" s="16"/>
      <c r="I184" s="16"/>
      <c r="K184" s="16"/>
      <c r="M184" s="16"/>
      <c r="O184" s="16"/>
      <c r="Q184" s="16"/>
      <c r="R184" s="16"/>
      <c r="T184" s="16"/>
      <c r="V184" s="16"/>
      <c r="X184" s="16"/>
      <c r="Z184" s="16"/>
      <c r="AB184" s="16"/>
      <c r="AD184" s="16"/>
      <c r="AF184" s="16"/>
      <c r="AH184" s="16"/>
      <c r="AJ184" s="16"/>
      <c r="AL184" s="16"/>
      <c r="AN184" s="16"/>
      <c r="AP184" s="16"/>
      <c r="AR184" s="16"/>
      <c r="AT184" s="16"/>
      <c r="AV184" s="16"/>
      <c r="BL184" s="2" t="s">
        <v>207</v>
      </c>
    </row>
    <row r="185" spans="2:64" ht="12.75">
      <c r="B185" s="2" t="s">
        <v>208</v>
      </c>
      <c r="C185" s="16"/>
      <c r="E185" s="16"/>
      <c r="G185" s="16"/>
      <c r="I185" s="16"/>
      <c r="K185" s="16"/>
      <c r="M185" s="16"/>
      <c r="O185" s="16"/>
      <c r="Q185" s="16"/>
      <c r="R185" s="16"/>
      <c r="T185" s="16"/>
      <c r="V185" s="16"/>
      <c r="X185" s="16"/>
      <c r="Z185" s="16"/>
      <c r="AB185" s="16"/>
      <c r="AD185" s="16"/>
      <c r="AF185" s="16"/>
      <c r="AH185" s="16"/>
      <c r="AJ185" s="16"/>
      <c r="AL185" s="16"/>
      <c r="AN185" s="16"/>
      <c r="AP185" s="16"/>
      <c r="AR185" s="16"/>
      <c r="AT185" s="16"/>
      <c r="AV185" s="16"/>
      <c r="BL185" s="2" t="s">
        <v>208</v>
      </c>
    </row>
    <row r="186" spans="2:64" ht="12.75">
      <c r="B186" s="2" t="s">
        <v>209</v>
      </c>
      <c r="C186" s="16"/>
      <c r="E186" s="16"/>
      <c r="G186" s="16"/>
      <c r="I186" s="16"/>
      <c r="K186" s="16"/>
      <c r="M186" s="16"/>
      <c r="O186" s="16"/>
      <c r="Q186" s="16"/>
      <c r="R186" s="16"/>
      <c r="T186" s="16"/>
      <c r="V186" s="16"/>
      <c r="X186" s="16"/>
      <c r="Z186" s="16"/>
      <c r="AB186" s="16"/>
      <c r="AD186" s="16"/>
      <c r="AF186" s="16"/>
      <c r="AH186" s="16"/>
      <c r="AJ186" s="16"/>
      <c r="AL186" s="16"/>
      <c r="AN186" s="16"/>
      <c r="AP186" s="16"/>
      <c r="AR186" s="16"/>
      <c r="AT186" s="16"/>
      <c r="AV186" s="16"/>
      <c r="BL186" s="2" t="s">
        <v>209</v>
      </c>
    </row>
    <row r="187" spans="2:64" ht="12.75">
      <c r="B187" s="2" t="s">
        <v>210</v>
      </c>
      <c r="C187" s="16"/>
      <c r="E187" s="16"/>
      <c r="G187" s="16"/>
      <c r="I187" s="16"/>
      <c r="K187" s="16"/>
      <c r="M187" s="16"/>
      <c r="O187" s="16"/>
      <c r="Q187" s="16"/>
      <c r="R187" s="16"/>
      <c r="T187" s="16"/>
      <c r="V187" s="16"/>
      <c r="X187" s="16"/>
      <c r="Z187" s="16"/>
      <c r="AB187" s="16"/>
      <c r="AD187" s="16"/>
      <c r="AF187" s="16"/>
      <c r="AH187" s="16"/>
      <c r="AJ187" s="16"/>
      <c r="AL187" s="16"/>
      <c r="AN187" s="16"/>
      <c r="AP187" s="16"/>
      <c r="AR187" s="16"/>
      <c r="AT187" s="16"/>
      <c r="AV187" s="16"/>
      <c r="BL187" s="2" t="s">
        <v>210</v>
      </c>
    </row>
    <row r="188" spans="2:64" ht="12.75">
      <c r="C188" s="16"/>
      <c r="E188" s="16"/>
      <c r="G188" s="16"/>
      <c r="I188" s="16"/>
      <c r="K188" s="16"/>
      <c r="M188" s="16"/>
      <c r="O188" s="16"/>
      <c r="Q188" s="16"/>
      <c r="R188" s="16"/>
      <c r="T188" s="16"/>
      <c r="V188" s="16"/>
      <c r="X188" s="16"/>
      <c r="Z188" s="16"/>
      <c r="AB188" s="16"/>
      <c r="AD188" s="16"/>
      <c r="AF188" s="16"/>
      <c r="AH188" s="16"/>
      <c r="AJ188" s="16"/>
      <c r="AL188" s="16"/>
      <c r="AN188" s="16"/>
      <c r="AP188" s="16"/>
      <c r="AR188" s="16"/>
      <c r="AT188" s="16"/>
      <c r="AV188" s="16"/>
    </row>
    <row r="189" spans="2:64" ht="12.75">
      <c r="C189" s="16"/>
      <c r="E189" s="16"/>
      <c r="G189" s="16"/>
      <c r="I189" s="16"/>
      <c r="K189" s="16"/>
      <c r="M189" s="16"/>
      <c r="O189" s="16"/>
      <c r="Q189" s="16"/>
      <c r="R189" s="16"/>
      <c r="T189" s="16"/>
      <c r="V189" s="16"/>
      <c r="X189" s="16"/>
      <c r="Z189" s="16"/>
      <c r="AB189" s="16"/>
      <c r="AD189" s="16"/>
      <c r="AF189" s="16"/>
      <c r="AH189" s="16"/>
      <c r="AJ189" s="16"/>
      <c r="AL189" s="16"/>
      <c r="AN189" s="16"/>
      <c r="AP189" s="16"/>
      <c r="AR189" s="16"/>
      <c r="AT189" s="16"/>
      <c r="AV189" s="16"/>
    </row>
    <row r="190" spans="2:64" ht="12.75">
      <c r="B190" s="2" t="s">
        <v>211</v>
      </c>
      <c r="C190" s="16"/>
      <c r="D190" s="2" t="s">
        <v>248</v>
      </c>
      <c r="E190" s="16"/>
      <c r="G190" s="16"/>
      <c r="I190" s="16"/>
      <c r="K190" s="16"/>
      <c r="M190" s="16"/>
      <c r="O190" s="16"/>
      <c r="Q190" s="16"/>
      <c r="R190" s="16"/>
      <c r="T190" s="16"/>
      <c r="V190" s="16"/>
      <c r="X190" s="16"/>
      <c r="Z190" s="16"/>
      <c r="AB190" s="16"/>
      <c r="AD190" s="16"/>
      <c r="AF190" s="16"/>
      <c r="AH190" s="16"/>
      <c r="AJ190" s="16"/>
      <c r="AL190" s="16"/>
      <c r="AN190" s="16"/>
      <c r="AP190" s="16"/>
      <c r="AR190" s="16"/>
      <c r="AT190" s="16"/>
      <c r="AV190" s="16"/>
      <c r="BL190" s="2" t="s">
        <v>211</v>
      </c>
    </row>
    <row r="191" spans="2:64" ht="12.75">
      <c r="B191" s="2" t="s">
        <v>212</v>
      </c>
      <c r="C191" s="16"/>
      <c r="D191" s="2" t="s">
        <v>215</v>
      </c>
      <c r="E191" s="16"/>
      <c r="G191" s="16"/>
      <c r="I191" s="16"/>
      <c r="K191" s="16"/>
      <c r="M191" s="16"/>
      <c r="O191" s="16"/>
      <c r="Q191" s="16"/>
      <c r="R191" s="16"/>
      <c r="T191" s="16"/>
      <c r="V191" s="16"/>
      <c r="X191" s="16"/>
      <c r="Z191" s="16"/>
      <c r="AB191" s="16"/>
      <c r="AD191" s="16"/>
      <c r="AF191" s="16"/>
      <c r="AH191" s="16"/>
      <c r="AJ191" s="16"/>
      <c r="AL191" s="16"/>
      <c r="AN191" s="16"/>
      <c r="AP191" s="16"/>
      <c r="AR191" s="16"/>
      <c r="AT191" s="16"/>
      <c r="AV191" s="16"/>
      <c r="BL191" s="2" t="s">
        <v>212</v>
      </c>
    </row>
    <row r="192" spans="2:64" ht="12.75">
      <c r="B192" s="2" t="s">
        <v>213</v>
      </c>
      <c r="C192" s="16"/>
      <c r="D192" s="2" t="s">
        <v>247</v>
      </c>
      <c r="E192" s="16"/>
      <c r="G192" s="16"/>
      <c r="I192" s="16"/>
      <c r="K192" s="16"/>
      <c r="M192" s="16"/>
      <c r="O192" s="16"/>
      <c r="Q192" s="16"/>
      <c r="R192" s="16"/>
      <c r="T192" s="16"/>
      <c r="V192" s="16"/>
      <c r="X192" s="16"/>
      <c r="Z192" s="16"/>
      <c r="AB192" s="16"/>
      <c r="AD192" s="16"/>
      <c r="AF192" s="16"/>
      <c r="AH192" s="16"/>
      <c r="AJ192" s="16"/>
      <c r="AL192" s="16"/>
      <c r="AN192" s="16"/>
      <c r="AP192" s="16"/>
      <c r="AR192" s="16"/>
      <c r="AT192" s="16"/>
      <c r="AV192" s="16"/>
      <c r="BL192" s="2" t="s">
        <v>213</v>
      </c>
    </row>
    <row r="193" spans="2:64" ht="12.75">
      <c r="C193" s="16"/>
      <c r="D193" s="2" t="s">
        <v>249</v>
      </c>
      <c r="E193" s="16"/>
      <c r="G193" s="16"/>
      <c r="I193" s="16"/>
      <c r="K193" s="16"/>
      <c r="M193" s="16"/>
      <c r="O193" s="16"/>
      <c r="Q193" s="16"/>
      <c r="R193" s="16"/>
      <c r="T193" s="16"/>
      <c r="V193" s="16"/>
      <c r="X193" s="16"/>
      <c r="Z193" s="16"/>
      <c r="AB193" s="16"/>
      <c r="AD193" s="16"/>
      <c r="AF193" s="16"/>
      <c r="AH193" s="16"/>
      <c r="AJ193" s="16"/>
      <c r="AL193" s="16"/>
      <c r="AN193" s="16"/>
      <c r="AP193" s="16"/>
      <c r="AR193" s="16"/>
      <c r="AT193" s="16"/>
      <c r="AV193" s="16"/>
    </row>
    <row r="194" spans="2:64" ht="12.75">
      <c r="B194" s="2" t="s">
        <v>214</v>
      </c>
      <c r="C194" s="16"/>
      <c r="E194" s="16"/>
      <c r="G194" s="16"/>
      <c r="I194" s="16"/>
      <c r="K194" s="16"/>
      <c r="M194" s="16"/>
      <c r="O194" s="16"/>
      <c r="Q194" s="16"/>
      <c r="R194" s="16"/>
      <c r="T194" s="16"/>
      <c r="V194" s="16"/>
      <c r="X194" s="16"/>
      <c r="Z194" s="16"/>
      <c r="AB194" s="16"/>
      <c r="AD194" s="16"/>
      <c r="AF194" s="16"/>
      <c r="AH194" s="16"/>
      <c r="AJ194" s="16"/>
      <c r="AL194" s="16"/>
      <c r="AN194" s="16"/>
      <c r="AP194" s="16"/>
      <c r="AR194" s="16"/>
      <c r="AT194" s="16"/>
      <c r="AV194" s="16"/>
      <c r="BL194" s="2" t="s">
        <v>214</v>
      </c>
    </row>
    <row r="195" spans="2:64" ht="12.75">
      <c r="B195" s="2" t="s">
        <v>215</v>
      </c>
      <c r="C195" s="16"/>
      <c r="E195" s="16"/>
      <c r="G195" s="16"/>
      <c r="I195" s="16"/>
      <c r="K195" s="16"/>
      <c r="M195" s="16"/>
      <c r="O195" s="16"/>
      <c r="Q195" s="16"/>
      <c r="R195" s="16"/>
      <c r="T195" s="16"/>
      <c r="V195" s="16"/>
      <c r="X195" s="16"/>
      <c r="Z195" s="16"/>
      <c r="AB195" s="16"/>
      <c r="AD195" s="16"/>
      <c r="AF195" s="16"/>
      <c r="AH195" s="16"/>
      <c r="AJ195" s="16"/>
      <c r="AL195" s="16"/>
      <c r="AN195" s="16"/>
      <c r="AP195" s="16"/>
      <c r="AR195" s="16"/>
      <c r="AT195" s="16"/>
      <c r="AV195" s="16"/>
      <c r="BL195" s="2" t="s">
        <v>215</v>
      </c>
    </row>
    <row r="196" spans="2:64" ht="12.75">
      <c r="B196" s="2" t="s">
        <v>216</v>
      </c>
      <c r="C196" s="16"/>
      <c r="E196" s="16"/>
      <c r="G196" s="16"/>
      <c r="I196" s="16"/>
      <c r="K196" s="16"/>
      <c r="M196" s="16"/>
      <c r="O196" s="16"/>
      <c r="Q196" s="16"/>
      <c r="R196" s="16"/>
      <c r="T196" s="16"/>
      <c r="V196" s="16"/>
      <c r="X196" s="16"/>
      <c r="Z196" s="16"/>
      <c r="AB196" s="16"/>
      <c r="AD196" s="16"/>
      <c r="AF196" s="16"/>
      <c r="AH196" s="16"/>
      <c r="AJ196" s="16"/>
      <c r="AL196" s="16"/>
      <c r="AN196" s="16"/>
      <c r="AP196" s="16"/>
      <c r="AR196" s="16"/>
      <c r="AT196" s="16"/>
      <c r="AV196" s="16"/>
      <c r="BL196" s="2" t="s">
        <v>216</v>
      </c>
    </row>
    <row r="197" spans="2:64" ht="12.75">
      <c r="C197" s="16"/>
      <c r="E197" s="16"/>
      <c r="G197" s="16"/>
      <c r="I197" s="16"/>
      <c r="K197" s="16"/>
      <c r="M197" s="16"/>
      <c r="O197" s="16"/>
      <c r="Q197" s="16"/>
      <c r="R197" s="16"/>
      <c r="T197" s="16"/>
      <c r="V197" s="16"/>
      <c r="X197" s="16"/>
      <c r="Z197" s="16"/>
      <c r="AB197" s="16"/>
      <c r="AD197" s="16"/>
      <c r="AF197" s="16"/>
      <c r="AH197" s="16"/>
      <c r="AJ197" s="16"/>
      <c r="AL197" s="16"/>
      <c r="AN197" s="16"/>
      <c r="AP197" s="16"/>
      <c r="AR197" s="16"/>
      <c r="AT197" s="16"/>
      <c r="AV197" s="16"/>
    </row>
    <row r="198" spans="2:64" ht="12.75">
      <c r="B198" s="2" t="s">
        <v>217</v>
      </c>
      <c r="C198" s="16"/>
      <c r="E198" s="16"/>
      <c r="G198" s="16"/>
      <c r="I198" s="16"/>
      <c r="K198" s="16"/>
      <c r="M198" s="16"/>
      <c r="O198" s="16"/>
      <c r="Q198" s="16"/>
      <c r="R198" s="16"/>
      <c r="T198" s="16"/>
      <c r="V198" s="16"/>
      <c r="X198" s="16"/>
      <c r="Z198" s="16"/>
      <c r="AB198" s="16"/>
      <c r="AD198" s="16"/>
      <c r="AF198" s="16"/>
      <c r="AH198" s="16"/>
      <c r="AJ198" s="16"/>
      <c r="AL198" s="16"/>
      <c r="AN198" s="16"/>
      <c r="AP198" s="16"/>
      <c r="AR198" s="16"/>
      <c r="AT198" s="16"/>
      <c r="AV198" s="16"/>
      <c r="BL198" s="2" t="s">
        <v>217</v>
      </c>
    </row>
    <row r="199" spans="2:64" ht="12.75">
      <c r="C199" s="16"/>
      <c r="E199" s="16"/>
      <c r="G199" s="16"/>
      <c r="I199" s="16"/>
      <c r="K199" s="16"/>
      <c r="M199" s="16"/>
      <c r="O199" s="16"/>
      <c r="Q199" s="16"/>
      <c r="R199" s="16"/>
      <c r="T199" s="16"/>
      <c r="V199" s="16"/>
      <c r="X199" s="16"/>
      <c r="Z199" s="16"/>
      <c r="AB199" s="16"/>
      <c r="AD199" s="16"/>
      <c r="AF199" s="16"/>
      <c r="AH199" s="16"/>
      <c r="AJ199" s="16"/>
      <c r="AL199" s="16"/>
      <c r="AN199" s="16"/>
      <c r="AP199" s="16"/>
      <c r="AR199" s="16"/>
      <c r="AT199" s="16"/>
      <c r="AV199" s="16"/>
    </row>
    <row r="200" spans="2:64" ht="12.75">
      <c r="C200" s="16"/>
      <c r="E200" s="16"/>
      <c r="G200" s="16"/>
      <c r="I200" s="16"/>
      <c r="K200" s="16"/>
      <c r="M200" s="16"/>
      <c r="O200" s="16"/>
      <c r="Q200" s="16"/>
      <c r="R200" s="16"/>
      <c r="T200" s="16"/>
      <c r="V200" s="16"/>
      <c r="X200" s="16"/>
      <c r="Z200" s="16"/>
      <c r="AB200" s="16"/>
      <c r="AD200" s="16"/>
      <c r="AF200" s="16"/>
      <c r="AH200" s="16"/>
      <c r="AJ200" s="16"/>
      <c r="AL200" s="16"/>
      <c r="AN200" s="16"/>
      <c r="AP200" s="16"/>
      <c r="AR200" s="16"/>
      <c r="AT200" s="16"/>
      <c r="AV200" s="16"/>
    </row>
    <row r="201" spans="2:64" ht="12.75">
      <c r="C201" s="16"/>
      <c r="E201" s="16"/>
      <c r="G201" s="16"/>
      <c r="I201" s="16"/>
      <c r="K201" s="16"/>
      <c r="M201" s="16"/>
      <c r="O201" s="16"/>
      <c r="Q201" s="16"/>
      <c r="R201" s="16"/>
      <c r="T201" s="16"/>
      <c r="V201" s="16"/>
      <c r="X201" s="16"/>
      <c r="Z201" s="16"/>
      <c r="AB201" s="16"/>
      <c r="AD201" s="16"/>
      <c r="AF201" s="16"/>
      <c r="AH201" s="16"/>
      <c r="AJ201" s="16"/>
      <c r="AL201" s="16"/>
      <c r="AN201" s="16"/>
      <c r="AP201" s="16"/>
      <c r="AR201" s="16"/>
      <c r="AT201" s="16"/>
      <c r="AV201" s="16"/>
    </row>
    <row r="202" spans="2:64" ht="12.75">
      <c r="C202" s="16"/>
      <c r="E202" s="16"/>
      <c r="G202" s="16"/>
      <c r="I202" s="16"/>
      <c r="K202" s="16"/>
      <c r="M202" s="16"/>
      <c r="O202" s="16"/>
      <c r="Q202" s="16"/>
      <c r="R202" s="16"/>
      <c r="T202" s="16"/>
      <c r="V202" s="16"/>
      <c r="X202" s="16"/>
      <c r="Z202" s="16"/>
      <c r="AB202" s="16"/>
      <c r="AD202" s="16"/>
      <c r="AF202" s="16"/>
      <c r="AH202" s="16"/>
      <c r="AJ202" s="16"/>
      <c r="AL202" s="16"/>
      <c r="AN202" s="16"/>
      <c r="AP202" s="16"/>
      <c r="AR202" s="16"/>
      <c r="AT202" s="16"/>
      <c r="AV202" s="16"/>
    </row>
    <row r="203" spans="2:64" ht="12.75">
      <c r="C203" s="16"/>
      <c r="E203" s="16"/>
      <c r="G203" s="16"/>
      <c r="I203" s="16"/>
      <c r="K203" s="16"/>
      <c r="M203" s="16"/>
      <c r="O203" s="16"/>
      <c r="Q203" s="16"/>
      <c r="R203" s="16"/>
      <c r="T203" s="16"/>
      <c r="V203" s="16"/>
      <c r="X203" s="16"/>
      <c r="Z203" s="16"/>
      <c r="AB203" s="16"/>
      <c r="AD203" s="16"/>
      <c r="AF203" s="16"/>
      <c r="AH203" s="16"/>
      <c r="AJ203" s="16"/>
      <c r="AL203" s="16"/>
      <c r="AN203" s="16"/>
      <c r="AP203" s="16"/>
      <c r="AR203" s="16"/>
      <c r="AT203" s="16"/>
      <c r="AV203" s="16"/>
    </row>
    <row r="204" spans="2:64" ht="12.75">
      <c r="C204" s="16"/>
      <c r="E204" s="16"/>
      <c r="G204" s="16"/>
      <c r="I204" s="16"/>
      <c r="K204" s="16"/>
      <c r="M204" s="16"/>
      <c r="O204" s="16"/>
      <c r="Q204" s="16"/>
      <c r="R204" s="16"/>
      <c r="T204" s="16"/>
      <c r="V204" s="16"/>
      <c r="X204" s="16"/>
      <c r="Z204" s="16"/>
      <c r="AB204" s="16"/>
      <c r="AD204" s="16"/>
      <c r="AF204" s="16"/>
      <c r="AH204" s="16"/>
      <c r="AJ204" s="16"/>
      <c r="AL204" s="16"/>
      <c r="AN204" s="16"/>
      <c r="AP204" s="16"/>
      <c r="AR204" s="16"/>
      <c r="AT204" s="16"/>
      <c r="AV204" s="16"/>
    </row>
    <row r="205" spans="2:64" ht="12.75">
      <c r="C205" s="16"/>
      <c r="E205" s="16"/>
      <c r="G205" s="16"/>
      <c r="I205" s="16"/>
      <c r="K205" s="16"/>
      <c r="M205" s="16"/>
      <c r="O205" s="16"/>
      <c r="Q205" s="16"/>
      <c r="R205" s="16"/>
      <c r="T205" s="16"/>
      <c r="V205" s="16"/>
      <c r="X205" s="16"/>
      <c r="Z205" s="16"/>
      <c r="AB205" s="16"/>
      <c r="AD205" s="16"/>
      <c r="AF205" s="16"/>
      <c r="AH205" s="16"/>
      <c r="AJ205" s="16"/>
      <c r="AL205" s="16"/>
      <c r="AN205" s="16"/>
      <c r="AP205" s="16"/>
      <c r="AR205" s="16"/>
      <c r="AT205" s="16"/>
      <c r="AV205" s="16"/>
    </row>
    <row r="206" spans="2:64" ht="12.75">
      <c r="C206" s="16"/>
      <c r="E206" s="16"/>
      <c r="G206" s="16"/>
      <c r="I206" s="16"/>
      <c r="K206" s="16"/>
      <c r="M206" s="16"/>
      <c r="O206" s="16"/>
      <c r="Q206" s="16"/>
      <c r="R206" s="16"/>
      <c r="T206" s="16"/>
      <c r="V206" s="16"/>
      <c r="X206" s="16"/>
      <c r="Z206" s="16"/>
      <c r="AB206" s="16"/>
      <c r="AD206" s="16"/>
      <c r="AF206" s="16"/>
      <c r="AH206" s="16"/>
      <c r="AJ206" s="16"/>
      <c r="AL206" s="16"/>
      <c r="AN206" s="16"/>
      <c r="AP206" s="16"/>
      <c r="AR206" s="16"/>
      <c r="AT206" s="16"/>
      <c r="AV206" s="16"/>
    </row>
    <row r="207" spans="2:64" ht="12.75">
      <c r="C207" s="16"/>
      <c r="E207" s="16"/>
      <c r="G207" s="16"/>
      <c r="I207" s="16"/>
      <c r="K207" s="16"/>
      <c r="M207" s="16"/>
      <c r="O207" s="16"/>
      <c r="Q207" s="16"/>
      <c r="R207" s="16"/>
      <c r="T207" s="16"/>
      <c r="V207" s="16"/>
      <c r="X207" s="16"/>
      <c r="Z207" s="16"/>
      <c r="AB207" s="16"/>
      <c r="AD207" s="16"/>
      <c r="AF207" s="16"/>
      <c r="AH207" s="16"/>
      <c r="AJ207" s="16"/>
      <c r="AL207" s="16"/>
      <c r="AN207" s="16"/>
      <c r="AP207" s="16"/>
      <c r="AR207" s="16"/>
      <c r="AT207" s="16"/>
      <c r="AV207" s="16"/>
    </row>
    <row r="208" spans="2:64" ht="12.75">
      <c r="C208" s="16"/>
      <c r="E208" s="16"/>
      <c r="G208" s="16"/>
      <c r="I208" s="16"/>
      <c r="K208" s="16"/>
      <c r="M208" s="16"/>
      <c r="O208" s="16"/>
      <c r="Q208" s="16"/>
      <c r="R208" s="16"/>
      <c r="T208" s="16"/>
      <c r="V208" s="16"/>
      <c r="X208" s="16"/>
      <c r="Z208" s="16"/>
      <c r="AB208" s="16"/>
      <c r="AD208" s="16"/>
      <c r="AF208" s="16"/>
      <c r="AH208" s="16"/>
      <c r="AJ208" s="16"/>
      <c r="AL208" s="16"/>
      <c r="AN208" s="16"/>
      <c r="AP208" s="16"/>
      <c r="AR208" s="16"/>
      <c r="AT208" s="16"/>
      <c r="AV208" s="16"/>
    </row>
    <row r="209" spans="3:48" ht="12.75">
      <c r="C209" s="16"/>
      <c r="E209" s="16"/>
      <c r="G209" s="16"/>
      <c r="I209" s="16"/>
      <c r="K209" s="16"/>
      <c r="M209" s="16"/>
      <c r="O209" s="16"/>
      <c r="Q209" s="16"/>
      <c r="R209" s="16"/>
      <c r="T209" s="16"/>
      <c r="V209" s="16"/>
      <c r="X209" s="16"/>
      <c r="Z209" s="16"/>
      <c r="AB209" s="16"/>
      <c r="AD209" s="16"/>
      <c r="AF209" s="16"/>
      <c r="AH209" s="16"/>
      <c r="AJ209" s="16"/>
      <c r="AL209" s="16"/>
      <c r="AN209" s="16"/>
      <c r="AP209" s="16"/>
      <c r="AR209" s="16"/>
      <c r="AT209" s="16"/>
      <c r="AV209" s="16"/>
    </row>
    <row r="210" spans="3:48" ht="12.75">
      <c r="C210" s="16"/>
      <c r="E210" s="16"/>
      <c r="G210" s="16"/>
      <c r="I210" s="16"/>
      <c r="K210" s="16"/>
      <c r="M210" s="16"/>
      <c r="O210" s="16"/>
      <c r="Q210" s="16"/>
      <c r="R210" s="16"/>
      <c r="T210" s="16"/>
      <c r="V210" s="16"/>
      <c r="X210" s="16"/>
      <c r="Z210" s="16"/>
      <c r="AB210" s="16"/>
      <c r="AD210" s="16"/>
      <c r="AF210" s="16"/>
      <c r="AH210" s="16"/>
      <c r="AJ210" s="16"/>
      <c r="AL210" s="16"/>
      <c r="AN210" s="16"/>
      <c r="AP210" s="16"/>
      <c r="AR210" s="16"/>
      <c r="AT210" s="16"/>
      <c r="AV210" s="16"/>
    </row>
    <row r="211" spans="3:48" ht="12.75">
      <c r="C211" s="16"/>
      <c r="E211" s="16"/>
      <c r="G211" s="16"/>
      <c r="I211" s="16"/>
      <c r="K211" s="16"/>
      <c r="M211" s="16"/>
      <c r="O211" s="16"/>
      <c r="Q211" s="16"/>
      <c r="R211" s="16"/>
      <c r="T211" s="16"/>
      <c r="V211" s="16"/>
      <c r="X211" s="16"/>
      <c r="Z211" s="16"/>
      <c r="AB211" s="16"/>
      <c r="AD211" s="16"/>
      <c r="AF211" s="16"/>
      <c r="AH211" s="16"/>
      <c r="AJ211" s="16"/>
      <c r="AL211" s="16"/>
      <c r="AN211" s="16"/>
      <c r="AP211" s="16"/>
      <c r="AR211" s="16"/>
      <c r="AT211" s="16"/>
      <c r="AV211" s="16"/>
    </row>
    <row r="212" spans="3:48" ht="12.75">
      <c r="C212" s="16"/>
      <c r="E212" s="16"/>
      <c r="G212" s="16"/>
      <c r="I212" s="16"/>
      <c r="K212" s="16"/>
      <c r="M212" s="16"/>
      <c r="O212" s="16"/>
      <c r="Q212" s="16"/>
      <c r="R212" s="16"/>
      <c r="T212" s="16"/>
      <c r="V212" s="16"/>
      <c r="X212" s="16"/>
      <c r="Z212" s="16"/>
      <c r="AB212" s="16"/>
      <c r="AD212" s="16"/>
      <c r="AF212" s="16"/>
      <c r="AH212" s="16"/>
      <c r="AJ212" s="16"/>
      <c r="AL212" s="16"/>
      <c r="AN212" s="16"/>
      <c r="AP212" s="16"/>
      <c r="AR212" s="16"/>
      <c r="AT212" s="16"/>
      <c r="AV212" s="16"/>
    </row>
    <row r="213" spans="3:48" ht="12.75">
      <c r="C213" s="16"/>
      <c r="E213" s="16"/>
      <c r="G213" s="16"/>
      <c r="I213" s="16"/>
      <c r="K213" s="16"/>
      <c r="M213" s="16"/>
      <c r="O213" s="16"/>
      <c r="Q213" s="16"/>
      <c r="R213" s="16"/>
      <c r="T213" s="16"/>
      <c r="V213" s="16"/>
      <c r="X213" s="16"/>
      <c r="Z213" s="16"/>
      <c r="AB213" s="16"/>
      <c r="AD213" s="16"/>
      <c r="AF213" s="16"/>
      <c r="AH213" s="16"/>
      <c r="AJ213" s="16"/>
      <c r="AL213" s="16"/>
      <c r="AN213" s="16"/>
      <c r="AP213" s="16"/>
      <c r="AR213" s="16"/>
      <c r="AT213" s="16"/>
      <c r="AV213" s="16"/>
    </row>
    <row r="214" spans="3:48" ht="12.75">
      <c r="C214" s="16"/>
      <c r="E214" s="16"/>
      <c r="G214" s="16"/>
      <c r="I214" s="16"/>
      <c r="K214" s="16"/>
      <c r="M214" s="16"/>
      <c r="O214" s="16"/>
      <c r="Q214" s="16"/>
      <c r="R214" s="16"/>
      <c r="T214" s="16"/>
      <c r="V214" s="16"/>
      <c r="X214" s="16"/>
      <c r="Z214" s="16"/>
      <c r="AB214" s="16"/>
      <c r="AD214" s="16"/>
      <c r="AF214" s="16"/>
      <c r="AH214" s="16"/>
      <c r="AJ214" s="16"/>
      <c r="AL214" s="16"/>
      <c r="AN214" s="16"/>
      <c r="AP214" s="16"/>
      <c r="AR214" s="16"/>
      <c r="AT214" s="16"/>
      <c r="AV214" s="16"/>
    </row>
    <row r="215" spans="3:48" ht="12.75">
      <c r="C215" s="16"/>
      <c r="E215" s="16"/>
      <c r="G215" s="16"/>
      <c r="I215" s="16"/>
      <c r="K215" s="16"/>
      <c r="M215" s="16"/>
      <c r="O215" s="16"/>
      <c r="Q215" s="16"/>
      <c r="R215" s="16"/>
      <c r="T215" s="16"/>
      <c r="V215" s="16"/>
      <c r="X215" s="16"/>
      <c r="Z215" s="16"/>
      <c r="AB215" s="16"/>
      <c r="AD215" s="16"/>
      <c r="AF215" s="16"/>
      <c r="AH215" s="16"/>
      <c r="AJ215" s="16"/>
      <c r="AL215" s="16"/>
      <c r="AN215" s="16"/>
      <c r="AP215" s="16"/>
      <c r="AR215" s="16"/>
      <c r="AT215" s="16"/>
      <c r="AV215" s="16"/>
    </row>
    <row r="216" spans="3:48" ht="12.75">
      <c r="C216" s="16"/>
      <c r="E216" s="16"/>
      <c r="G216" s="16"/>
      <c r="I216" s="16"/>
      <c r="K216" s="16"/>
      <c r="M216" s="16"/>
      <c r="O216" s="16"/>
      <c r="Q216" s="16"/>
      <c r="R216" s="16"/>
      <c r="T216" s="16"/>
      <c r="V216" s="16"/>
      <c r="X216" s="16"/>
      <c r="Z216" s="16"/>
      <c r="AB216" s="16"/>
      <c r="AD216" s="16"/>
      <c r="AF216" s="16"/>
      <c r="AH216" s="16"/>
      <c r="AJ216" s="16"/>
      <c r="AL216" s="16"/>
      <c r="AN216" s="16"/>
      <c r="AP216" s="16"/>
      <c r="AR216" s="16"/>
      <c r="AT216" s="16"/>
      <c r="AV216" s="16"/>
    </row>
    <row r="217" spans="3:48" ht="12.75">
      <c r="C217" s="16"/>
      <c r="E217" s="16"/>
      <c r="G217" s="16"/>
      <c r="I217" s="16"/>
      <c r="K217" s="16"/>
      <c r="M217" s="16"/>
      <c r="O217" s="16"/>
      <c r="Q217" s="16"/>
      <c r="R217" s="16"/>
      <c r="T217" s="16"/>
      <c r="V217" s="16"/>
      <c r="X217" s="16"/>
      <c r="Z217" s="16"/>
      <c r="AB217" s="16"/>
      <c r="AD217" s="16"/>
      <c r="AF217" s="16"/>
      <c r="AH217" s="16"/>
      <c r="AJ217" s="16"/>
      <c r="AL217" s="16"/>
      <c r="AN217" s="16"/>
      <c r="AP217" s="16"/>
      <c r="AR217" s="16"/>
      <c r="AT217" s="16"/>
      <c r="AV217" s="16"/>
    </row>
    <row r="218" spans="3:48" ht="12.75">
      <c r="C218" s="16"/>
      <c r="E218" s="16"/>
      <c r="G218" s="16"/>
      <c r="I218" s="16"/>
      <c r="K218" s="16"/>
      <c r="M218" s="16"/>
      <c r="O218" s="16"/>
      <c r="Q218" s="16"/>
      <c r="R218" s="16"/>
      <c r="T218" s="16"/>
      <c r="V218" s="16"/>
      <c r="X218" s="16"/>
      <c r="Z218" s="16"/>
      <c r="AB218" s="16"/>
      <c r="AD218" s="16"/>
      <c r="AF218" s="16"/>
      <c r="AH218" s="16"/>
      <c r="AJ218" s="16"/>
      <c r="AL218" s="16"/>
      <c r="AN218" s="16"/>
      <c r="AP218" s="16"/>
      <c r="AR218" s="16"/>
      <c r="AT218" s="16"/>
      <c r="AV218" s="16"/>
    </row>
    <row r="219" spans="3:48" ht="12.75">
      <c r="C219" s="16"/>
      <c r="E219" s="16"/>
      <c r="G219" s="16"/>
      <c r="I219" s="16"/>
      <c r="K219" s="16"/>
      <c r="M219" s="16"/>
      <c r="O219" s="16"/>
      <c r="Q219" s="16"/>
      <c r="R219" s="16"/>
      <c r="T219" s="16"/>
      <c r="V219" s="16"/>
      <c r="X219" s="16"/>
      <c r="Z219" s="16"/>
      <c r="AB219" s="16"/>
      <c r="AD219" s="16"/>
      <c r="AF219" s="16"/>
      <c r="AH219" s="16"/>
      <c r="AJ219" s="16"/>
      <c r="AL219" s="16"/>
      <c r="AN219" s="16"/>
      <c r="AP219" s="16"/>
      <c r="AR219" s="16"/>
      <c r="AT219" s="16"/>
      <c r="AV219" s="16"/>
    </row>
    <row r="220" spans="3:48" ht="12.75">
      <c r="C220" s="16"/>
      <c r="E220" s="16"/>
      <c r="G220" s="16"/>
      <c r="I220" s="16"/>
      <c r="K220" s="16"/>
      <c r="M220" s="16"/>
      <c r="O220" s="16"/>
      <c r="Q220" s="16"/>
      <c r="R220" s="16"/>
      <c r="T220" s="16"/>
      <c r="V220" s="16"/>
      <c r="X220" s="16"/>
      <c r="Z220" s="16"/>
      <c r="AB220" s="16"/>
      <c r="AD220" s="16"/>
      <c r="AF220" s="16"/>
      <c r="AH220" s="16"/>
      <c r="AJ220" s="16"/>
      <c r="AL220" s="16"/>
      <c r="AN220" s="16"/>
      <c r="AP220" s="16"/>
      <c r="AR220" s="16"/>
      <c r="AT220" s="16"/>
      <c r="AV220" s="16"/>
    </row>
    <row r="221" spans="3:48" ht="12.75">
      <c r="C221" s="16"/>
      <c r="E221" s="16"/>
      <c r="G221" s="16"/>
      <c r="I221" s="16"/>
      <c r="K221" s="16"/>
      <c r="M221" s="16"/>
      <c r="O221" s="16"/>
      <c r="Q221" s="16"/>
      <c r="R221" s="16"/>
      <c r="T221" s="16"/>
      <c r="V221" s="16"/>
      <c r="X221" s="16"/>
      <c r="Z221" s="16"/>
      <c r="AB221" s="16"/>
      <c r="AD221" s="16"/>
      <c r="AF221" s="16"/>
      <c r="AH221" s="16"/>
      <c r="AJ221" s="16"/>
      <c r="AL221" s="16"/>
      <c r="AN221" s="16"/>
      <c r="AP221" s="16"/>
      <c r="AR221" s="16"/>
      <c r="AT221" s="16"/>
      <c r="AV221" s="16"/>
    </row>
    <row r="222" spans="3:48" ht="12.75">
      <c r="C222" s="16"/>
      <c r="E222" s="16"/>
      <c r="G222" s="16"/>
      <c r="I222" s="16"/>
      <c r="K222" s="16"/>
      <c r="M222" s="16"/>
      <c r="O222" s="16"/>
      <c r="Q222" s="16"/>
      <c r="R222" s="16"/>
      <c r="T222" s="16"/>
      <c r="V222" s="16"/>
      <c r="X222" s="16"/>
      <c r="Z222" s="16"/>
      <c r="AB222" s="16"/>
      <c r="AD222" s="16"/>
      <c r="AF222" s="16"/>
      <c r="AH222" s="16"/>
      <c r="AJ222" s="16"/>
      <c r="AL222" s="16"/>
      <c r="AN222" s="16"/>
      <c r="AP222" s="16"/>
      <c r="AR222" s="16"/>
      <c r="AT222" s="16"/>
      <c r="AV222" s="16"/>
    </row>
    <row r="223" spans="3:48" ht="12.75">
      <c r="C223" s="16"/>
      <c r="E223" s="16"/>
      <c r="G223" s="16"/>
      <c r="I223" s="16"/>
      <c r="K223" s="16"/>
      <c r="M223" s="16"/>
      <c r="O223" s="16"/>
      <c r="Q223" s="16"/>
      <c r="R223" s="16"/>
      <c r="T223" s="16"/>
      <c r="V223" s="16"/>
      <c r="X223" s="16"/>
      <c r="Z223" s="16"/>
      <c r="AB223" s="16"/>
      <c r="AD223" s="16"/>
      <c r="AF223" s="16"/>
      <c r="AH223" s="16"/>
      <c r="AJ223" s="16"/>
      <c r="AL223" s="16"/>
      <c r="AN223" s="16"/>
      <c r="AP223" s="16"/>
      <c r="AR223" s="16"/>
      <c r="AT223" s="16"/>
      <c r="AV223" s="16"/>
    </row>
    <row r="224" spans="3:48" ht="12.75">
      <c r="C224" s="16"/>
      <c r="E224" s="16"/>
      <c r="G224" s="16"/>
      <c r="I224" s="16"/>
      <c r="K224" s="16"/>
      <c r="M224" s="16"/>
      <c r="O224" s="16"/>
      <c r="Q224" s="16"/>
      <c r="R224" s="16"/>
      <c r="T224" s="16"/>
      <c r="V224" s="16"/>
      <c r="X224" s="16"/>
      <c r="Z224" s="16"/>
      <c r="AB224" s="16"/>
      <c r="AD224" s="16"/>
      <c r="AF224" s="16"/>
      <c r="AH224" s="16"/>
      <c r="AJ224" s="16"/>
      <c r="AL224" s="16"/>
      <c r="AN224" s="16"/>
      <c r="AP224" s="16"/>
      <c r="AR224" s="16"/>
      <c r="AT224" s="16"/>
      <c r="AV224" s="16"/>
    </row>
    <row r="225" spans="3:48" ht="12.75">
      <c r="C225" s="16"/>
      <c r="E225" s="16"/>
      <c r="G225" s="16"/>
      <c r="I225" s="16"/>
      <c r="K225" s="16"/>
      <c r="M225" s="16"/>
      <c r="O225" s="16"/>
      <c r="Q225" s="16"/>
      <c r="R225" s="16"/>
      <c r="T225" s="16"/>
      <c r="V225" s="16"/>
      <c r="X225" s="16"/>
      <c r="Z225" s="16"/>
      <c r="AB225" s="16"/>
      <c r="AD225" s="16"/>
      <c r="AF225" s="16"/>
      <c r="AH225" s="16"/>
      <c r="AJ225" s="16"/>
      <c r="AL225" s="16"/>
      <c r="AN225" s="16"/>
      <c r="AP225" s="16"/>
      <c r="AR225" s="16"/>
      <c r="AT225" s="16"/>
      <c r="AV225" s="16"/>
    </row>
    <row r="226" spans="3:48" ht="12.75">
      <c r="C226" s="16"/>
      <c r="E226" s="16"/>
      <c r="G226" s="16"/>
      <c r="I226" s="16"/>
      <c r="K226" s="16"/>
      <c r="M226" s="16"/>
      <c r="O226" s="16"/>
      <c r="Q226" s="16"/>
      <c r="R226" s="16"/>
      <c r="T226" s="16"/>
      <c r="V226" s="16"/>
      <c r="X226" s="16"/>
      <c r="Z226" s="16"/>
      <c r="AB226" s="16"/>
      <c r="AD226" s="16"/>
      <c r="AF226" s="16"/>
      <c r="AH226" s="16"/>
      <c r="AJ226" s="16"/>
      <c r="AL226" s="16"/>
      <c r="AN226" s="16"/>
      <c r="AP226" s="16"/>
      <c r="AR226" s="16"/>
      <c r="AT226" s="16"/>
      <c r="AV226" s="16"/>
    </row>
    <row r="227" spans="3:48" ht="12.75">
      <c r="C227" s="16"/>
      <c r="E227" s="16"/>
      <c r="G227" s="16"/>
      <c r="I227" s="16"/>
      <c r="K227" s="16"/>
      <c r="M227" s="16"/>
      <c r="O227" s="16"/>
      <c r="Q227" s="16"/>
      <c r="R227" s="16"/>
      <c r="T227" s="16"/>
      <c r="V227" s="16"/>
      <c r="X227" s="16"/>
      <c r="Z227" s="16"/>
      <c r="AB227" s="16"/>
      <c r="AD227" s="16"/>
      <c r="AF227" s="16"/>
      <c r="AH227" s="16"/>
      <c r="AJ227" s="16"/>
      <c r="AL227" s="16"/>
      <c r="AN227" s="16"/>
      <c r="AP227" s="16"/>
      <c r="AR227" s="16"/>
      <c r="AT227" s="16"/>
      <c r="AV227" s="16"/>
    </row>
    <row r="228" spans="3:48" ht="12.75">
      <c r="C228" s="16"/>
      <c r="E228" s="16"/>
      <c r="G228" s="16"/>
      <c r="I228" s="16"/>
      <c r="K228" s="16"/>
      <c r="M228" s="16"/>
      <c r="O228" s="16"/>
      <c r="Q228" s="16"/>
      <c r="R228" s="16"/>
      <c r="T228" s="16"/>
      <c r="V228" s="16"/>
      <c r="X228" s="16"/>
      <c r="Z228" s="16"/>
      <c r="AB228" s="16"/>
      <c r="AD228" s="16"/>
      <c r="AF228" s="16"/>
      <c r="AH228" s="16"/>
      <c r="AJ228" s="16"/>
      <c r="AL228" s="16"/>
      <c r="AN228" s="16"/>
      <c r="AP228" s="16"/>
      <c r="AR228" s="16"/>
      <c r="AT228" s="16"/>
      <c r="AV228" s="16"/>
    </row>
    <row r="229" spans="3:48" ht="12.75">
      <c r="C229" s="16"/>
      <c r="E229" s="16"/>
      <c r="G229" s="16"/>
      <c r="I229" s="16"/>
      <c r="K229" s="16"/>
      <c r="M229" s="16"/>
      <c r="O229" s="16"/>
      <c r="Q229" s="16"/>
      <c r="R229" s="16"/>
      <c r="T229" s="16"/>
      <c r="V229" s="16"/>
      <c r="X229" s="16"/>
      <c r="Z229" s="16"/>
      <c r="AB229" s="16"/>
      <c r="AD229" s="16"/>
      <c r="AF229" s="16"/>
      <c r="AH229" s="16"/>
      <c r="AJ229" s="16"/>
      <c r="AL229" s="16"/>
      <c r="AN229" s="16"/>
      <c r="AP229" s="16"/>
      <c r="AR229" s="16"/>
      <c r="AT229" s="16"/>
      <c r="AV229" s="16"/>
    </row>
    <row r="230" spans="3:48" ht="12.75">
      <c r="C230" s="16"/>
      <c r="E230" s="16"/>
      <c r="G230" s="16"/>
      <c r="I230" s="16"/>
      <c r="K230" s="16"/>
      <c r="M230" s="16"/>
      <c r="O230" s="16"/>
      <c r="Q230" s="16"/>
      <c r="R230" s="16"/>
      <c r="T230" s="16"/>
      <c r="V230" s="16"/>
      <c r="X230" s="16"/>
      <c r="Z230" s="16"/>
      <c r="AB230" s="16"/>
      <c r="AD230" s="16"/>
      <c r="AF230" s="16"/>
      <c r="AH230" s="16"/>
      <c r="AJ230" s="16"/>
      <c r="AL230" s="16"/>
      <c r="AN230" s="16"/>
      <c r="AP230" s="16"/>
      <c r="AR230" s="16"/>
      <c r="AT230" s="16"/>
      <c r="AV230" s="16"/>
    </row>
    <row r="231" spans="3:48" ht="12.75">
      <c r="C231" s="16"/>
      <c r="E231" s="16"/>
      <c r="G231" s="16"/>
      <c r="I231" s="16"/>
      <c r="K231" s="16"/>
      <c r="M231" s="16"/>
      <c r="O231" s="16"/>
      <c r="Q231" s="16"/>
      <c r="R231" s="16"/>
      <c r="T231" s="16"/>
      <c r="V231" s="16"/>
      <c r="X231" s="16"/>
      <c r="Z231" s="16"/>
      <c r="AB231" s="16"/>
      <c r="AD231" s="16"/>
      <c r="AF231" s="16"/>
      <c r="AH231" s="16"/>
      <c r="AJ231" s="16"/>
      <c r="AL231" s="16"/>
      <c r="AN231" s="16"/>
      <c r="AP231" s="16"/>
      <c r="AR231" s="16"/>
      <c r="AT231" s="16"/>
      <c r="AV231" s="16"/>
    </row>
    <row r="232" spans="3:48" ht="12.75">
      <c r="C232" s="16"/>
      <c r="E232" s="16"/>
      <c r="G232" s="16"/>
      <c r="I232" s="16"/>
      <c r="K232" s="16"/>
      <c r="M232" s="16"/>
      <c r="O232" s="16"/>
      <c r="Q232" s="16"/>
      <c r="R232" s="16"/>
      <c r="T232" s="16"/>
      <c r="V232" s="16"/>
      <c r="X232" s="16"/>
      <c r="Z232" s="16"/>
      <c r="AB232" s="16"/>
      <c r="AD232" s="16"/>
      <c r="AF232" s="16"/>
      <c r="AH232" s="16"/>
      <c r="AJ232" s="16"/>
      <c r="AL232" s="16"/>
      <c r="AN232" s="16"/>
      <c r="AP232" s="16"/>
      <c r="AR232" s="16"/>
      <c r="AT232" s="16"/>
      <c r="AV232" s="16"/>
    </row>
    <row r="233" spans="3:48" ht="12.75">
      <c r="C233" s="16"/>
      <c r="E233" s="16"/>
      <c r="G233" s="16"/>
      <c r="I233" s="16"/>
      <c r="K233" s="16"/>
      <c r="M233" s="16"/>
      <c r="O233" s="16"/>
      <c r="Q233" s="16"/>
      <c r="R233" s="16"/>
      <c r="T233" s="16"/>
      <c r="V233" s="16"/>
      <c r="X233" s="16"/>
      <c r="Z233" s="16"/>
      <c r="AB233" s="16"/>
      <c r="AD233" s="16"/>
      <c r="AF233" s="16"/>
      <c r="AH233" s="16"/>
      <c r="AJ233" s="16"/>
      <c r="AL233" s="16"/>
      <c r="AN233" s="16"/>
      <c r="AP233" s="16"/>
      <c r="AR233" s="16"/>
      <c r="AT233" s="16"/>
      <c r="AV233" s="16"/>
    </row>
    <row r="234" spans="3:48" ht="12.75">
      <c r="C234" s="16"/>
      <c r="E234" s="16"/>
      <c r="G234" s="16"/>
      <c r="I234" s="16"/>
      <c r="K234" s="16"/>
      <c r="M234" s="16"/>
      <c r="O234" s="16"/>
      <c r="Q234" s="16"/>
      <c r="R234" s="16"/>
      <c r="T234" s="16"/>
      <c r="V234" s="16"/>
      <c r="X234" s="16"/>
      <c r="Z234" s="16"/>
      <c r="AB234" s="16"/>
      <c r="AD234" s="16"/>
      <c r="AF234" s="16"/>
      <c r="AH234" s="16"/>
      <c r="AJ234" s="16"/>
      <c r="AL234" s="16"/>
      <c r="AN234" s="16"/>
      <c r="AP234" s="16"/>
      <c r="AR234" s="16"/>
      <c r="AT234" s="16"/>
      <c r="AV234" s="16"/>
    </row>
    <row r="235" spans="3:48" ht="12.75">
      <c r="C235" s="16"/>
      <c r="E235" s="16"/>
      <c r="G235" s="16"/>
      <c r="I235" s="16"/>
      <c r="K235" s="16"/>
      <c r="M235" s="16"/>
      <c r="O235" s="16"/>
      <c r="Q235" s="16"/>
      <c r="R235" s="16"/>
      <c r="T235" s="16"/>
      <c r="V235" s="16"/>
      <c r="X235" s="16"/>
      <c r="Z235" s="16"/>
      <c r="AB235" s="16"/>
      <c r="AD235" s="16"/>
      <c r="AF235" s="16"/>
      <c r="AH235" s="16"/>
      <c r="AJ235" s="16"/>
      <c r="AL235" s="16"/>
      <c r="AN235" s="16"/>
      <c r="AP235" s="16"/>
      <c r="AR235" s="16"/>
      <c r="AT235" s="16"/>
      <c r="AV235" s="16"/>
    </row>
    <row r="236" spans="3:48" ht="12.75">
      <c r="C236" s="16"/>
      <c r="E236" s="16"/>
      <c r="G236" s="16"/>
      <c r="I236" s="16"/>
      <c r="K236" s="16"/>
      <c r="M236" s="16"/>
      <c r="O236" s="16"/>
      <c r="Q236" s="16"/>
      <c r="R236" s="16"/>
      <c r="T236" s="16"/>
      <c r="V236" s="16"/>
      <c r="X236" s="16"/>
      <c r="Z236" s="16"/>
      <c r="AB236" s="16"/>
      <c r="AD236" s="16"/>
      <c r="AF236" s="16"/>
      <c r="AH236" s="16"/>
      <c r="AJ236" s="16"/>
      <c r="AL236" s="16"/>
      <c r="AN236" s="16"/>
      <c r="AP236" s="16"/>
      <c r="AR236" s="16"/>
      <c r="AT236" s="16"/>
      <c r="AV236" s="16"/>
    </row>
    <row r="237" spans="3:48" ht="12.75">
      <c r="C237" s="16"/>
      <c r="E237" s="16"/>
      <c r="G237" s="16"/>
      <c r="I237" s="16"/>
      <c r="K237" s="16"/>
      <c r="M237" s="16"/>
      <c r="O237" s="16"/>
      <c r="Q237" s="16"/>
      <c r="R237" s="16"/>
      <c r="T237" s="16"/>
      <c r="V237" s="16"/>
      <c r="X237" s="16"/>
      <c r="Z237" s="16"/>
      <c r="AB237" s="16"/>
      <c r="AD237" s="16"/>
      <c r="AF237" s="16"/>
      <c r="AH237" s="16"/>
      <c r="AJ237" s="16"/>
      <c r="AL237" s="16"/>
      <c r="AN237" s="16"/>
      <c r="AP237" s="16"/>
      <c r="AR237" s="16"/>
      <c r="AT237" s="16"/>
      <c r="AV237" s="16"/>
    </row>
    <row r="238" spans="3:48" ht="12.75">
      <c r="C238" s="16"/>
      <c r="E238" s="16"/>
      <c r="G238" s="16"/>
      <c r="I238" s="16"/>
      <c r="K238" s="16"/>
      <c r="M238" s="16"/>
      <c r="O238" s="16"/>
      <c r="Q238" s="16"/>
      <c r="R238" s="16"/>
      <c r="T238" s="16"/>
      <c r="V238" s="16"/>
      <c r="X238" s="16"/>
      <c r="Z238" s="16"/>
      <c r="AB238" s="16"/>
      <c r="AD238" s="16"/>
      <c r="AF238" s="16"/>
      <c r="AH238" s="16"/>
      <c r="AJ238" s="16"/>
      <c r="AL238" s="16"/>
      <c r="AN238" s="16"/>
      <c r="AP238" s="16"/>
      <c r="AR238" s="16"/>
      <c r="AT238" s="16"/>
      <c r="AV238" s="16"/>
    </row>
    <row r="239" spans="3:48" ht="12.75">
      <c r="C239" s="16"/>
      <c r="E239" s="16"/>
      <c r="G239" s="16"/>
      <c r="I239" s="16"/>
      <c r="K239" s="16"/>
      <c r="M239" s="16"/>
      <c r="O239" s="16"/>
      <c r="Q239" s="16"/>
      <c r="R239" s="16"/>
      <c r="T239" s="16"/>
      <c r="V239" s="16"/>
      <c r="X239" s="16"/>
      <c r="Z239" s="16"/>
      <c r="AB239" s="16"/>
      <c r="AD239" s="16"/>
      <c r="AF239" s="16"/>
      <c r="AH239" s="16"/>
      <c r="AJ239" s="16"/>
      <c r="AL239" s="16"/>
      <c r="AN239" s="16"/>
      <c r="AP239" s="16"/>
      <c r="AR239" s="16"/>
      <c r="AT239" s="16"/>
      <c r="AV239" s="16"/>
    </row>
    <row r="240" spans="3:48" ht="12.75">
      <c r="C240" s="16"/>
      <c r="E240" s="16"/>
      <c r="G240" s="16"/>
      <c r="I240" s="16"/>
      <c r="K240" s="16"/>
      <c r="M240" s="16"/>
      <c r="O240" s="16"/>
      <c r="Q240" s="16"/>
      <c r="R240" s="16"/>
      <c r="T240" s="16"/>
      <c r="V240" s="16"/>
      <c r="X240" s="16"/>
      <c r="Z240" s="16"/>
      <c r="AB240" s="16"/>
      <c r="AD240" s="16"/>
      <c r="AF240" s="16"/>
      <c r="AH240" s="16"/>
      <c r="AJ240" s="16"/>
      <c r="AL240" s="16"/>
      <c r="AN240" s="16"/>
      <c r="AP240" s="16"/>
      <c r="AR240" s="16"/>
      <c r="AT240" s="16"/>
      <c r="AV240" s="16"/>
    </row>
    <row r="241" spans="3:48" ht="12.75">
      <c r="C241" s="16"/>
      <c r="E241" s="16"/>
      <c r="G241" s="16"/>
      <c r="I241" s="16"/>
      <c r="K241" s="16"/>
      <c r="M241" s="16"/>
      <c r="O241" s="16"/>
      <c r="Q241" s="16"/>
      <c r="R241" s="16"/>
      <c r="T241" s="16"/>
      <c r="V241" s="16"/>
      <c r="X241" s="16"/>
      <c r="Z241" s="16"/>
      <c r="AB241" s="16"/>
      <c r="AD241" s="16"/>
      <c r="AF241" s="16"/>
      <c r="AH241" s="16"/>
      <c r="AJ241" s="16"/>
      <c r="AL241" s="16"/>
      <c r="AN241" s="16"/>
      <c r="AP241" s="16"/>
      <c r="AR241" s="16"/>
      <c r="AT241" s="16"/>
      <c r="AV241" s="16"/>
    </row>
    <row r="242" spans="3:48" ht="12.75">
      <c r="C242" s="16"/>
      <c r="E242" s="16"/>
      <c r="G242" s="16"/>
      <c r="I242" s="16"/>
      <c r="K242" s="16"/>
      <c r="M242" s="16"/>
      <c r="O242" s="16"/>
      <c r="Q242" s="16"/>
      <c r="R242" s="16"/>
      <c r="T242" s="16"/>
      <c r="V242" s="16"/>
      <c r="X242" s="16"/>
      <c r="Z242" s="16"/>
      <c r="AB242" s="16"/>
      <c r="AD242" s="16"/>
      <c r="AF242" s="16"/>
      <c r="AH242" s="16"/>
      <c r="AJ242" s="16"/>
      <c r="AL242" s="16"/>
      <c r="AN242" s="16"/>
      <c r="AP242" s="16"/>
      <c r="AR242" s="16"/>
      <c r="AT242" s="16"/>
      <c r="AV242" s="16"/>
    </row>
    <row r="243" spans="3:48" ht="12.75">
      <c r="C243" s="16"/>
      <c r="E243" s="16"/>
      <c r="G243" s="16"/>
      <c r="I243" s="16"/>
      <c r="K243" s="16"/>
      <c r="M243" s="16"/>
      <c r="O243" s="16"/>
      <c r="Q243" s="16"/>
      <c r="R243" s="16"/>
      <c r="T243" s="16"/>
      <c r="V243" s="16"/>
      <c r="X243" s="16"/>
      <c r="Z243" s="16"/>
      <c r="AB243" s="16"/>
      <c r="AD243" s="16"/>
      <c r="AF243" s="16"/>
      <c r="AH243" s="16"/>
      <c r="AJ243" s="16"/>
      <c r="AL243" s="16"/>
      <c r="AN243" s="16"/>
      <c r="AP243" s="16"/>
      <c r="AR243" s="16"/>
      <c r="AT243" s="16"/>
      <c r="AV243" s="16"/>
    </row>
    <row r="244" spans="3:48" ht="12.75">
      <c r="C244" s="16"/>
      <c r="E244" s="16"/>
      <c r="G244" s="16"/>
      <c r="I244" s="16"/>
      <c r="K244" s="16"/>
      <c r="M244" s="16"/>
      <c r="O244" s="16"/>
      <c r="Q244" s="16"/>
      <c r="R244" s="16"/>
      <c r="T244" s="16"/>
      <c r="V244" s="16"/>
      <c r="X244" s="16"/>
      <c r="Z244" s="16"/>
      <c r="AB244" s="16"/>
      <c r="AD244" s="16"/>
      <c r="AF244" s="16"/>
      <c r="AH244" s="16"/>
      <c r="AJ244" s="16"/>
      <c r="AL244" s="16"/>
      <c r="AN244" s="16"/>
      <c r="AP244" s="16"/>
      <c r="AR244" s="16"/>
      <c r="AT244" s="16"/>
      <c r="AV244" s="16"/>
    </row>
    <row r="245" spans="3:48" ht="12.75">
      <c r="C245" s="16"/>
      <c r="E245" s="16"/>
      <c r="G245" s="16"/>
      <c r="I245" s="16"/>
      <c r="K245" s="16"/>
      <c r="M245" s="16"/>
      <c r="O245" s="16"/>
      <c r="Q245" s="16"/>
      <c r="R245" s="16"/>
      <c r="T245" s="16"/>
      <c r="V245" s="16"/>
      <c r="X245" s="16"/>
      <c r="Z245" s="16"/>
      <c r="AB245" s="16"/>
      <c r="AD245" s="16"/>
      <c r="AF245" s="16"/>
      <c r="AH245" s="16"/>
      <c r="AJ245" s="16"/>
      <c r="AL245" s="16"/>
      <c r="AN245" s="16"/>
      <c r="AP245" s="16"/>
      <c r="AR245" s="16"/>
      <c r="AT245" s="16"/>
      <c r="AV245" s="16"/>
    </row>
    <row r="246" spans="3:48" ht="12.75">
      <c r="C246" s="16"/>
      <c r="E246" s="16"/>
      <c r="G246" s="16"/>
      <c r="I246" s="16"/>
      <c r="K246" s="16"/>
      <c r="M246" s="16"/>
      <c r="O246" s="16"/>
      <c r="Q246" s="16"/>
      <c r="R246" s="16"/>
      <c r="T246" s="16"/>
      <c r="V246" s="16"/>
      <c r="X246" s="16"/>
      <c r="Z246" s="16"/>
      <c r="AB246" s="16"/>
      <c r="AD246" s="16"/>
      <c r="AF246" s="16"/>
      <c r="AH246" s="16"/>
      <c r="AJ246" s="16"/>
      <c r="AL246" s="16"/>
      <c r="AN246" s="16"/>
      <c r="AP246" s="16"/>
      <c r="AR246" s="16"/>
      <c r="AT246" s="16"/>
      <c r="AV246" s="16"/>
    </row>
    <row r="247" spans="3:48" ht="12.75">
      <c r="C247" s="16"/>
      <c r="E247" s="16"/>
      <c r="G247" s="16"/>
      <c r="I247" s="16"/>
      <c r="K247" s="16"/>
      <c r="M247" s="16"/>
      <c r="O247" s="16"/>
      <c r="Q247" s="16"/>
      <c r="R247" s="16"/>
      <c r="T247" s="16"/>
      <c r="V247" s="16"/>
      <c r="X247" s="16"/>
      <c r="Z247" s="16"/>
      <c r="AB247" s="16"/>
      <c r="AD247" s="16"/>
      <c r="AF247" s="16"/>
      <c r="AH247" s="16"/>
      <c r="AJ247" s="16"/>
      <c r="AL247" s="16"/>
      <c r="AN247" s="16"/>
      <c r="AP247" s="16"/>
      <c r="AR247" s="16"/>
      <c r="AT247" s="16"/>
      <c r="AV247" s="16"/>
    </row>
    <row r="248" spans="3:48" ht="12.75">
      <c r="C248" s="16"/>
      <c r="E248" s="16"/>
      <c r="G248" s="16"/>
      <c r="I248" s="16"/>
      <c r="K248" s="16"/>
      <c r="M248" s="16"/>
      <c r="O248" s="16"/>
      <c r="Q248" s="16"/>
      <c r="R248" s="16"/>
      <c r="T248" s="16"/>
      <c r="V248" s="16"/>
      <c r="X248" s="16"/>
      <c r="Z248" s="16"/>
      <c r="AB248" s="16"/>
      <c r="AD248" s="16"/>
      <c r="AF248" s="16"/>
      <c r="AH248" s="16"/>
      <c r="AJ248" s="16"/>
      <c r="AL248" s="16"/>
      <c r="AN248" s="16"/>
      <c r="AP248" s="16"/>
      <c r="AR248" s="16"/>
      <c r="AT248" s="16"/>
      <c r="AV248" s="16"/>
    </row>
    <row r="249" spans="3:48" ht="12.75">
      <c r="C249" s="16"/>
      <c r="E249" s="16"/>
      <c r="G249" s="16"/>
      <c r="I249" s="16"/>
      <c r="K249" s="16"/>
      <c r="M249" s="16"/>
      <c r="O249" s="16"/>
      <c r="Q249" s="16"/>
      <c r="R249" s="16"/>
      <c r="T249" s="16"/>
      <c r="V249" s="16"/>
      <c r="X249" s="16"/>
      <c r="Z249" s="16"/>
      <c r="AB249" s="16"/>
      <c r="AD249" s="16"/>
      <c r="AF249" s="16"/>
      <c r="AH249" s="16"/>
      <c r="AJ249" s="16"/>
      <c r="AL249" s="16"/>
      <c r="AN249" s="16"/>
      <c r="AP249" s="16"/>
      <c r="AR249" s="16"/>
      <c r="AT249" s="16"/>
      <c r="AV249" s="16"/>
    </row>
    <row r="250" spans="3:48" ht="12.75">
      <c r="C250" s="16"/>
      <c r="E250" s="16"/>
      <c r="G250" s="16"/>
      <c r="I250" s="16"/>
      <c r="K250" s="16"/>
      <c r="M250" s="16"/>
      <c r="O250" s="16"/>
      <c r="Q250" s="16"/>
      <c r="R250" s="16"/>
      <c r="T250" s="16"/>
      <c r="V250" s="16"/>
      <c r="X250" s="16"/>
      <c r="Z250" s="16"/>
      <c r="AB250" s="16"/>
      <c r="AD250" s="16"/>
      <c r="AF250" s="16"/>
      <c r="AH250" s="16"/>
      <c r="AJ250" s="16"/>
      <c r="AL250" s="16"/>
      <c r="AN250" s="16"/>
      <c r="AP250" s="16"/>
      <c r="AR250" s="16"/>
      <c r="AT250" s="16"/>
      <c r="AV250" s="16"/>
    </row>
    <row r="251" spans="3:48" ht="12.75">
      <c r="C251" s="16"/>
      <c r="E251" s="16"/>
      <c r="G251" s="16"/>
      <c r="I251" s="16"/>
      <c r="K251" s="16"/>
      <c r="M251" s="16"/>
      <c r="O251" s="16"/>
      <c r="Q251" s="16"/>
      <c r="R251" s="16"/>
      <c r="T251" s="16"/>
      <c r="V251" s="16"/>
      <c r="X251" s="16"/>
      <c r="Z251" s="16"/>
      <c r="AB251" s="16"/>
      <c r="AD251" s="16"/>
      <c r="AF251" s="16"/>
      <c r="AH251" s="16"/>
      <c r="AJ251" s="16"/>
      <c r="AL251" s="16"/>
      <c r="AN251" s="16"/>
      <c r="AP251" s="16"/>
      <c r="AR251" s="16"/>
      <c r="AT251" s="16"/>
      <c r="AV251" s="16"/>
    </row>
    <row r="252" spans="3:48" ht="12.75">
      <c r="C252" s="16"/>
      <c r="E252" s="16"/>
      <c r="G252" s="16"/>
      <c r="I252" s="16"/>
      <c r="K252" s="16"/>
      <c r="M252" s="16"/>
      <c r="O252" s="16"/>
      <c r="Q252" s="16"/>
      <c r="R252" s="16"/>
      <c r="T252" s="16"/>
      <c r="V252" s="16"/>
      <c r="X252" s="16"/>
      <c r="Z252" s="16"/>
      <c r="AB252" s="16"/>
      <c r="AD252" s="16"/>
      <c r="AF252" s="16"/>
      <c r="AH252" s="16"/>
      <c r="AJ252" s="16"/>
      <c r="AL252" s="16"/>
      <c r="AN252" s="16"/>
      <c r="AP252" s="16"/>
      <c r="AR252" s="16"/>
      <c r="AT252" s="16"/>
      <c r="AV252" s="16"/>
    </row>
    <row r="253" spans="3:48" ht="12.75">
      <c r="C253" s="16"/>
      <c r="E253" s="16"/>
      <c r="G253" s="16"/>
      <c r="I253" s="16"/>
      <c r="K253" s="16"/>
      <c r="M253" s="16"/>
      <c r="O253" s="16"/>
      <c r="Q253" s="16"/>
      <c r="R253" s="16"/>
      <c r="T253" s="16"/>
      <c r="V253" s="16"/>
      <c r="X253" s="16"/>
      <c r="Z253" s="16"/>
      <c r="AB253" s="16"/>
      <c r="AD253" s="16"/>
      <c r="AF253" s="16"/>
      <c r="AH253" s="16"/>
      <c r="AJ253" s="16"/>
      <c r="AL253" s="16"/>
      <c r="AN253" s="16"/>
      <c r="AP253" s="16"/>
      <c r="AR253" s="16"/>
      <c r="AT253" s="16"/>
      <c r="AV253" s="16"/>
    </row>
    <row r="254" spans="3:48" ht="12.75">
      <c r="C254" s="16"/>
      <c r="E254" s="16"/>
      <c r="G254" s="16"/>
      <c r="I254" s="16"/>
      <c r="K254" s="16"/>
      <c r="M254" s="16"/>
      <c r="O254" s="16"/>
      <c r="Q254" s="16"/>
      <c r="R254" s="16"/>
      <c r="T254" s="16"/>
      <c r="V254" s="16"/>
      <c r="X254" s="16"/>
      <c r="Z254" s="16"/>
      <c r="AB254" s="16"/>
      <c r="AD254" s="16"/>
      <c r="AF254" s="16"/>
      <c r="AH254" s="16"/>
      <c r="AJ254" s="16"/>
      <c r="AL254" s="16"/>
      <c r="AN254" s="16"/>
      <c r="AP254" s="16"/>
      <c r="AR254" s="16"/>
      <c r="AT254" s="16"/>
      <c r="AV254" s="16"/>
    </row>
    <row r="255" spans="3:48" ht="12.75">
      <c r="C255" s="16"/>
      <c r="E255" s="16"/>
      <c r="G255" s="16"/>
      <c r="I255" s="16"/>
      <c r="K255" s="16"/>
      <c r="M255" s="16"/>
      <c r="O255" s="16"/>
      <c r="Q255" s="16"/>
      <c r="R255" s="16"/>
      <c r="T255" s="16"/>
      <c r="V255" s="16"/>
      <c r="X255" s="16"/>
      <c r="Z255" s="16"/>
      <c r="AB255" s="16"/>
      <c r="AD255" s="16"/>
      <c r="AF255" s="16"/>
      <c r="AH255" s="16"/>
      <c r="AJ255" s="16"/>
      <c r="AL255" s="16"/>
      <c r="AN255" s="16"/>
      <c r="AP255" s="16"/>
      <c r="AR255" s="16"/>
      <c r="AT255" s="16"/>
      <c r="AV255" s="16"/>
    </row>
    <row r="256" spans="3:48" ht="12.75">
      <c r="C256" s="16"/>
      <c r="E256" s="16"/>
      <c r="G256" s="16"/>
      <c r="I256" s="16"/>
      <c r="K256" s="16"/>
      <c r="M256" s="16"/>
      <c r="O256" s="16"/>
      <c r="Q256" s="16"/>
      <c r="R256" s="16"/>
      <c r="T256" s="16"/>
      <c r="V256" s="16"/>
      <c r="X256" s="16"/>
      <c r="Z256" s="16"/>
      <c r="AB256" s="16"/>
      <c r="AD256" s="16"/>
      <c r="AF256" s="16"/>
      <c r="AH256" s="16"/>
      <c r="AJ256" s="16"/>
      <c r="AL256" s="16"/>
      <c r="AN256" s="16"/>
      <c r="AP256" s="16"/>
      <c r="AR256" s="16"/>
      <c r="AT256" s="16"/>
      <c r="AV256" s="16"/>
    </row>
    <row r="257" spans="3:48" ht="12.75">
      <c r="C257" s="16"/>
      <c r="E257" s="16"/>
      <c r="G257" s="16"/>
      <c r="I257" s="16"/>
      <c r="K257" s="16"/>
      <c r="M257" s="16"/>
      <c r="O257" s="16"/>
      <c r="Q257" s="16"/>
      <c r="R257" s="16"/>
      <c r="T257" s="16"/>
      <c r="V257" s="16"/>
      <c r="X257" s="16"/>
      <c r="Z257" s="16"/>
      <c r="AB257" s="16"/>
      <c r="AD257" s="16"/>
      <c r="AF257" s="16"/>
      <c r="AH257" s="16"/>
      <c r="AJ257" s="16"/>
      <c r="AL257" s="16"/>
      <c r="AN257" s="16"/>
      <c r="AP257" s="16"/>
      <c r="AR257" s="16"/>
      <c r="AT257" s="16"/>
      <c r="AV257" s="16"/>
    </row>
    <row r="258" spans="3:48" ht="12.75">
      <c r="C258" s="16"/>
      <c r="E258" s="16"/>
      <c r="G258" s="16"/>
      <c r="I258" s="16"/>
      <c r="K258" s="16"/>
      <c r="M258" s="16"/>
      <c r="O258" s="16"/>
      <c r="Q258" s="16"/>
      <c r="R258" s="16"/>
      <c r="T258" s="16"/>
      <c r="V258" s="16"/>
      <c r="X258" s="16"/>
      <c r="Z258" s="16"/>
      <c r="AB258" s="16"/>
      <c r="AD258" s="16"/>
      <c r="AF258" s="16"/>
      <c r="AH258" s="16"/>
      <c r="AJ258" s="16"/>
      <c r="AL258" s="16"/>
      <c r="AN258" s="16"/>
      <c r="AP258" s="16"/>
      <c r="AR258" s="16"/>
      <c r="AT258" s="16"/>
      <c r="AV258" s="16"/>
    </row>
    <row r="259" spans="3:48" ht="12.75">
      <c r="C259" s="16"/>
      <c r="E259" s="16"/>
      <c r="G259" s="16"/>
      <c r="I259" s="16"/>
      <c r="K259" s="16"/>
      <c r="M259" s="16"/>
      <c r="O259" s="16"/>
      <c r="Q259" s="16"/>
      <c r="R259" s="16"/>
      <c r="T259" s="16"/>
      <c r="V259" s="16"/>
      <c r="X259" s="16"/>
      <c r="Z259" s="16"/>
      <c r="AB259" s="16"/>
      <c r="AD259" s="16"/>
      <c r="AF259" s="16"/>
      <c r="AH259" s="16"/>
      <c r="AJ259" s="16"/>
      <c r="AL259" s="16"/>
      <c r="AN259" s="16"/>
      <c r="AP259" s="16"/>
      <c r="AR259" s="16"/>
      <c r="AT259" s="16"/>
      <c r="AV259" s="16"/>
    </row>
    <row r="260" spans="3:48" ht="12.75">
      <c r="C260" s="16"/>
      <c r="E260" s="16"/>
      <c r="G260" s="16"/>
      <c r="I260" s="16"/>
      <c r="K260" s="16"/>
      <c r="M260" s="16"/>
      <c r="O260" s="16"/>
      <c r="Q260" s="16"/>
      <c r="R260" s="16"/>
      <c r="T260" s="16"/>
      <c r="V260" s="16"/>
      <c r="X260" s="16"/>
      <c r="Z260" s="16"/>
      <c r="AB260" s="16"/>
      <c r="AD260" s="16"/>
      <c r="AF260" s="16"/>
      <c r="AH260" s="16"/>
      <c r="AJ260" s="16"/>
      <c r="AL260" s="16"/>
      <c r="AN260" s="16"/>
      <c r="AP260" s="16"/>
      <c r="AR260" s="16"/>
      <c r="AT260" s="16"/>
      <c r="AV260" s="16"/>
    </row>
    <row r="261" spans="3:48" ht="12.75">
      <c r="C261" s="16"/>
      <c r="E261" s="16"/>
      <c r="G261" s="16"/>
      <c r="I261" s="16"/>
      <c r="K261" s="16"/>
      <c r="M261" s="16"/>
      <c r="O261" s="16"/>
      <c r="Q261" s="16"/>
      <c r="R261" s="16"/>
      <c r="T261" s="16"/>
      <c r="V261" s="16"/>
      <c r="X261" s="16"/>
      <c r="Z261" s="16"/>
      <c r="AB261" s="16"/>
      <c r="AD261" s="16"/>
      <c r="AF261" s="16"/>
      <c r="AH261" s="16"/>
      <c r="AJ261" s="16"/>
      <c r="AL261" s="16"/>
      <c r="AN261" s="16"/>
      <c r="AP261" s="16"/>
      <c r="AR261" s="16"/>
      <c r="AT261" s="16"/>
      <c r="AV261" s="16"/>
    </row>
    <row r="262" spans="3:48" ht="12.75">
      <c r="C262" s="16"/>
      <c r="E262" s="16"/>
      <c r="G262" s="16"/>
      <c r="I262" s="16"/>
      <c r="K262" s="16"/>
      <c r="M262" s="16"/>
      <c r="O262" s="16"/>
      <c r="Q262" s="16"/>
      <c r="R262" s="16"/>
      <c r="T262" s="16"/>
      <c r="V262" s="16"/>
      <c r="X262" s="16"/>
      <c r="Z262" s="16"/>
      <c r="AB262" s="16"/>
      <c r="AD262" s="16"/>
      <c r="AF262" s="16"/>
      <c r="AH262" s="16"/>
      <c r="AJ262" s="16"/>
      <c r="AL262" s="16"/>
      <c r="AN262" s="16"/>
      <c r="AP262" s="16"/>
      <c r="AR262" s="16"/>
      <c r="AT262" s="16"/>
      <c r="AV262" s="16"/>
    </row>
    <row r="263" spans="3:48" ht="12.75">
      <c r="C263" s="16"/>
      <c r="E263" s="16"/>
      <c r="G263" s="16"/>
      <c r="I263" s="16"/>
      <c r="K263" s="16"/>
      <c r="M263" s="16"/>
      <c r="O263" s="16"/>
      <c r="Q263" s="16"/>
      <c r="R263" s="16"/>
      <c r="T263" s="16"/>
      <c r="V263" s="16"/>
      <c r="X263" s="16"/>
      <c r="Z263" s="16"/>
      <c r="AB263" s="16"/>
      <c r="AD263" s="16"/>
      <c r="AF263" s="16"/>
      <c r="AH263" s="16"/>
      <c r="AJ263" s="16"/>
      <c r="AL263" s="16"/>
      <c r="AN263" s="16"/>
      <c r="AP263" s="16"/>
      <c r="AR263" s="16"/>
      <c r="AT263" s="16"/>
      <c r="AV263" s="16"/>
    </row>
    <row r="264" spans="3:48" ht="12.75">
      <c r="C264" s="16"/>
      <c r="E264" s="16"/>
      <c r="G264" s="16"/>
      <c r="I264" s="16"/>
      <c r="K264" s="16"/>
      <c r="M264" s="16"/>
      <c r="O264" s="16"/>
      <c r="Q264" s="16"/>
      <c r="R264" s="16"/>
      <c r="T264" s="16"/>
      <c r="V264" s="16"/>
      <c r="X264" s="16"/>
      <c r="Z264" s="16"/>
      <c r="AB264" s="16"/>
      <c r="AD264" s="16"/>
      <c r="AF264" s="16"/>
      <c r="AH264" s="16"/>
      <c r="AJ264" s="16"/>
      <c r="AL264" s="16"/>
      <c r="AN264" s="16"/>
      <c r="AP264" s="16"/>
      <c r="AR264" s="16"/>
      <c r="AT264" s="16"/>
      <c r="AV264" s="16"/>
    </row>
    <row r="265" spans="3:48" ht="12.75">
      <c r="C265" s="16"/>
      <c r="E265" s="16"/>
      <c r="G265" s="16"/>
      <c r="I265" s="16"/>
      <c r="K265" s="16"/>
      <c r="M265" s="16"/>
      <c r="O265" s="16"/>
      <c r="Q265" s="16"/>
      <c r="R265" s="16"/>
      <c r="T265" s="16"/>
      <c r="V265" s="16"/>
      <c r="X265" s="16"/>
      <c r="Z265" s="16"/>
      <c r="AB265" s="16"/>
      <c r="AD265" s="16"/>
      <c r="AF265" s="16"/>
      <c r="AH265" s="16"/>
      <c r="AJ265" s="16"/>
      <c r="AL265" s="16"/>
      <c r="AN265" s="16"/>
      <c r="AP265" s="16"/>
      <c r="AR265" s="16"/>
      <c r="AT265" s="16"/>
      <c r="AV265" s="16"/>
    </row>
    <row r="266" spans="3:48" ht="12.75">
      <c r="C266" s="16"/>
      <c r="E266" s="16"/>
      <c r="G266" s="16"/>
      <c r="I266" s="16"/>
      <c r="K266" s="16"/>
      <c r="M266" s="16"/>
      <c r="O266" s="16"/>
      <c r="Q266" s="16"/>
      <c r="R266" s="16"/>
      <c r="T266" s="16"/>
      <c r="V266" s="16"/>
      <c r="X266" s="16"/>
      <c r="Z266" s="16"/>
      <c r="AB266" s="16"/>
      <c r="AD266" s="16"/>
      <c r="AF266" s="16"/>
      <c r="AH266" s="16"/>
      <c r="AJ266" s="16"/>
      <c r="AL266" s="16"/>
      <c r="AN266" s="16"/>
      <c r="AP266" s="16"/>
      <c r="AR266" s="16"/>
      <c r="AT266" s="16"/>
      <c r="AV266" s="16"/>
    </row>
    <row r="267" spans="3:48" ht="12.75">
      <c r="C267" s="16"/>
      <c r="E267" s="16"/>
      <c r="G267" s="16"/>
      <c r="I267" s="16"/>
      <c r="K267" s="16"/>
      <c r="M267" s="16"/>
      <c r="O267" s="16"/>
      <c r="Q267" s="16"/>
      <c r="R267" s="16"/>
      <c r="T267" s="16"/>
      <c r="V267" s="16"/>
      <c r="X267" s="16"/>
      <c r="Z267" s="16"/>
      <c r="AB267" s="16"/>
      <c r="AD267" s="16"/>
      <c r="AF267" s="16"/>
      <c r="AH267" s="16"/>
      <c r="AJ267" s="16"/>
      <c r="AL267" s="16"/>
      <c r="AN267" s="16"/>
      <c r="AP267" s="16"/>
      <c r="AR267" s="16"/>
      <c r="AT267" s="16"/>
      <c r="AV267" s="16"/>
    </row>
    <row r="268" spans="3:48" ht="12.75">
      <c r="C268" s="16"/>
      <c r="E268" s="16"/>
      <c r="G268" s="16"/>
      <c r="I268" s="16"/>
      <c r="K268" s="16"/>
      <c r="M268" s="16"/>
      <c r="O268" s="16"/>
      <c r="Q268" s="16"/>
      <c r="R268" s="16"/>
      <c r="T268" s="16"/>
      <c r="V268" s="16"/>
      <c r="X268" s="16"/>
      <c r="Z268" s="16"/>
      <c r="AB268" s="16"/>
      <c r="AD268" s="16"/>
      <c r="AF268" s="16"/>
      <c r="AH268" s="16"/>
      <c r="AJ268" s="16"/>
      <c r="AL268" s="16"/>
      <c r="AN268" s="16"/>
      <c r="AP268" s="16"/>
      <c r="AR268" s="16"/>
      <c r="AT268" s="16"/>
      <c r="AV268" s="16"/>
    </row>
    <row r="269" spans="3:48" ht="12.75">
      <c r="C269" s="16"/>
      <c r="E269" s="16"/>
      <c r="G269" s="16"/>
      <c r="I269" s="16"/>
      <c r="K269" s="16"/>
      <c r="M269" s="16"/>
      <c r="O269" s="16"/>
      <c r="Q269" s="16"/>
      <c r="R269" s="16"/>
      <c r="T269" s="16"/>
      <c r="V269" s="16"/>
      <c r="X269" s="16"/>
      <c r="Z269" s="16"/>
      <c r="AB269" s="16"/>
      <c r="AD269" s="16"/>
      <c r="AF269" s="16"/>
      <c r="AH269" s="16"/>
      <c r="AJ269" s="16"/>
      <c r="AL269" s="16"/>
      <c r="AN269" s="16"/>
      <c r="AP269" s="16"/>
      <c r="AR269" s="16"/>
      <c r="AT269" s="16"/>
      <c r="AV269" s="16"/>
    </row>
    <row r="270" spans="3:48" ht="12.75">
      <c r="C270" s="16"/>
      <c r="E270" s="16"/>
      <c r="G270" s="16"/>
      <c r="I270" s="16"/>
      <c r="K270" s="16"/>
      <c r="M270" s="16"/>
      <c r="O270" s="16"/>
      <c r="Q270" s="16"/>
      <c r="R270" s="16"/>
      <c r="T270" s="16"/>
      <c r="V270" s="16"/>
      <c r="X270" s="16"/>
      <c r="Z270" s="16"/>
      <c r="AB270" s="16"/>
      <c r="AD270" s="16"/>
      <c r="AF270" s="16"/>
      <c r="AH270" s="16"/>
      <c r="AJ270" s="16"/>
      <c r="AL270" s="16"/>
      <c r="AN270" s="16"/>
      <c r="AP270" s="16"/>
      <c r="AR270" s="16"/>
      <c r="AT270" s="16"/>
      <c r="AV270" s="16"/>
    </row>
    <row r="271" spans="3:48" ht="12.75">
      <c r="C271" s="16"/>
      <c r="E271" s="16"/>
      <c r="G271" s="16"/>
      <c r="I271" s="16"/>
      <c r="K271" s="16"/>
      <c r="M271" s="16"/>
      <c r="O271" s="16"/>
      <c r="Q271" s="16"/>
      <c r="R271" s="16"/>
      <c r="T271" s="16"/>
      <c r="V271" s="16"/>
      <c r="X271" s="16"/>
      <c r="Z271" s="16"/>
      <c r="AB271" s="16"/>
      <c r="AD271" s="16"/>
      <c r="AF271" s="16"/>
      <c r="AH271" s="16"/>
      <c r="AJ271" s="16"/>
      <c r="AL271" s="16"/>
      <c r="AN271" s="16"/>
      <c r="AP271" s="16"/>
      <c r="AR271" s="16"/>
      <c r="AT271" s="16"/>
      <c r="AV271" s="16"/>
    </row>
    <row r="272" spans="3:48" ht="12.75">
      <c r="C272" s="16"/>
      <c r="E272" s="16"/>
      <c r="G272" s="16"/>
      <c r="I272" s="16"/>
      <c r="K272" s="16"/>
      <c r="M272" s="16"/>
      <c r="O272" s="16"/>
      <c r="Q272" s="16"/>
      <c r="R272" s="16"/>
      <c r="T272" s="16"/>
      <c r="V272" s="16"/>
      <c r="X272" s="16"/>
      <c r="Z272" s="16"/>
      <c r="AB272" s="16"/>
      <c r="AD272" s="16"/>
      <c r="AF272" s="16"/>
      <c r="AH272" s="16"/>
      <c r="AJ272" s="16"/>
      <c r="AL272" s="16"/>
      <c r="AN272" s="16"/>
      <c r="AP272" s="16"/>
      <c r="AR272" s="16"/>
      <c r="AT272" s="16"/>
      <c r="AV272" s="16"/>
    </row>
    <row r="273" spans="3:48" ht="12.75">
      <c r="C273" s="16"/>
      <c r="E273" s="16"/>
      <c r="G273" s="16"/>
      <c r="I273" s="16"/>
      <c r="K273" s="16"/>
      <c r="M273" s="16"/>
      <c r="O273" s="16"/>
      <c r="Q273" s="16"/>
      <c r="R273" s="16"/>
      <c r="T273" s="16"/>
      <c r="V273" s="16"/>
      <c r="X273" s="16"/>
      <c r="Z273" s="16"/>
      <c r="AB273" s="16"/>
      <c r="AD273" s="16"/>
      <c r="AF273" s="16"/>
      <c r="AH273" s="16"/>
      <c r="AJ273" s="16"/>
      <c r="AL273" s="16"/>
      <c r="AN273" s="16"/>
      <c r="AP273" s="16"/>
      <c r="AR273" s="16"/>
      <c r="AT273" s="16"/>
      <c r="AV273" s="16"/>
    </row>
    <row r="274" spans="3:48" ht="12.75">
      <c r="C274" s="16"/>
      <c r="E274" s="16"/>
      <c r="G274" s="16"/>
      <c r="I274" s="16"/>
      <c r="K274" s="16"/>
      <c r="M274" s="16"/>
      <c r="O274" s="16"/>
      <c r="Q274" s="16"/>
      <c r="R274" s="16"/>
      <c r="T274" s="16"/>
      <c r="V274" s="16"/>
      <c r="X274" s="16"/>
      <c r="Z274" s="16"/>
      <c r="AB274" s="16"/>
      <c r="AD274" s="16"/>
      <c r="AF274" s="16"/>
      <c r="AH274" s="16"/>
      <c r="AJ274" s="16"/>
      <c r="AL274" s="16"/>
      <c r="AN274" s="16"/>
      <c r="AP274" s="16"/>
      <c r="AR274" s="16"/>
      <c r="AT274" s="16"/>
      <c r="AV274" s="16"/>
    </row>
    <row r="275" spans="3:48" ht="12.75">
      <c r="C275" s="16"/>
      <c r="E275" s="16"/>
      <c r="G275" s="16"/>
      <c r="I275" s="16"/>
      <c r="K275" s="16"/>
      <c r="M275" s="16"/>
      <c r="O275" s="16"/>
      <c r="Q275" s="16"/>
      <c r="R275" s="16"/>
      <c r="T275" s="16"/>
      <c r="V275" s="16"/>
      <c r="X275" s="16"/>
      <c r="Z275" s="16"/>
      <c r="AB275" s="16"/>
      <c r="AD275" s="16"/>
      <c r="AF275" s="16"/>
      <c r="AH275" s="16"/>
      <c r="AJ275" s="16"/>
      <c r="AL275" s="16"/>
      <c r="AN275" s="16"/>
      <c r="AP275" s="16"/>
      <c r="AR275" s="16"/>
      <c r="AT275" s="16"/>
      <c r="AV275" s="16"/>
    </row>
    <row r="276" spans="3:48" ht="12.75">
      <c r="C276" s="16"/>
      <c r="E276" s="16"/>
      <c r="G276" s="16"/>
      <c r="I276" s="16"/>
      <c r="K276" s="16"/>
      <c r="M276" s="16"/>
      <c r="O276" s="16"/>
      <c r="Q276" s="16"/>
      <c r="R276" s="16"/>
      <c r="T276" s="16"/>
      <c r="V276" s="16"/>
      <c r="X276" s="16"/>
      <c r="Z276" s="16"/>
      <c r="AB276" s="16"/>
      <c r="AD276" s="16"/>
      <c r="AF276" s="16"/>
      <c r="AH276" s="16"/>
      <c r="AJ276" s="16"/>
      <c r="AL276" s="16"/>
      <c r="AN276" s="16"/>
      <c r="AP276" s="16"/>
      <c r="AR276" s="16"/>
      <c r="AT276" s="16"/>
      <c r="AV276" s="16"/>
    </row>
    <row r="277" spans="3:48" ht="12.75">
      <c r="C277" s="16"/>
      <c r="E277" s="16"/>
      <c r="G277" s="16"/>
      <c r="I277" s="16"/>
      <c r="K277" s="16"/>
      <c r="M277" s="16"/>
      <c r="O277" s="16"/>
      <c r="Q277" s="16"/>
      <c r="R277" s="16"/>
      <c r="T277" s="16"/>
      <c r="V277" s="16"/>
      <c r="X277" s="16"/>
      <c r="Z277" s="16"/>
      <c r="AB277" s="16"/>
      <c r="AD277" s="16"/>
      <c r="AF277" s="16"/>
      <c r="AH277" s="16"/>
      <c r="AJ277" s="16"/>
      <c r="AL277" s="16"/>
      <c r="AN277" s="16"/>
      <c r="AP277" s="16"/>
      <c r="AR277" s="16"/>
      <c r="AT277" s="16"/>
      <c r="AV277" s="16"/>
    </row>
    <row r="278" spans="3:48" ht="12.75">
      <c r="C278" s="16"/>
      <c r="E278" s="16"/>
      <c r="G278" s="16"/>
      <c r="I278" s="16"/>
      <c r="K278" s="16"/>
      <c r="M278" s="16"/>
      <c r="O278" s="16"/>
      <c r="Q278" s="16"/>
      <c r="R278" s="16"/>
      <c r="T278" s="16"/>
      <c r="V278" s="16"/>
      <c r="X278" s="16"/>
      <c r="Z278" s="16"/>
      <c r="AB278" s="16"/>
      <c r="AD278" s="16"/>
      <c r="AF278" s="16"/>
      <c r="AH278" s="16"/>
      <c r="AJ278" s="16"/>
      <c r="AL278" s="16"/>
      <c r="AN278" s="16"/>
      <c r="AP278" s="16"/>
      <c r="AR278" s="16"/>
      <c r="AT278" s="16"/>
      <c r="AV278" s="16"/>
    </row>
    <row r="279" spans="3:48" ht="12.75">
      <c r="C279" s="16"/>
      <c r="E279" s="16"/>
      <c r="G279" s="16"/>
      <c r="I279" s="16"/>
      <c r="K279" s="16"/>
      <c r="M279" s="16"/>
      <c r="O279" s="16"/>
      <c r="Q279" s="16"/>
      <c r="R279" s="16"/>
      <c r="T279" s="16"/>
      <c r="V279" s="16"/>
      <c r="X279" s="16"/>
      <c r="Z279" s="16"/>
      <c r="AB279" s="16"/>
      <c r="AD279" s="16"/>
      <c r="AF279" s="16"/>
      <c r="AH279" s="16"/>
      <c r="AJ279" s="16"/>
      <c r="AL279" s="16"/>
      <c r="AN279" s="16"/>
      <c r="AP279" s="16"/>
      <c r="AR279" s="16"/>
      <c r="AT279" s="16"/>
      <c r="AV279" s="16"/>
    </row>
    <row r="280" spans="3:48" ht="12.75">
      <c r="C280" s="16"/>
      <c r="E280" s="16"/>
      <c r="G280" s="16"/>
      <c r="I280" s="16"/>
      <c r="K280" s="16"/>
      <c r="M280" s="16"/>
      <c r="O280" s="16"/>
      <c r="Q280" s="16"/>
      <c r="R280" s="16"/>
      <c r="T280" s="16"/>
      <c r="V280" s="16"/>
      <c r="X280" s="16"/>
      <c r="Z280" s="16"/>
      <c r="AB280" s="16"/>
      <c r="AD280" s="16"/>
      <c r="AF280" s="16"/>
      <c r="AH280" s="16"/>
      <c r="AJ280" s="16"/>
      <c r="AL280" s="16"/>
      <c r="AN280" s="16"/>
      <c r="AP280" s="16"/>
      <c r="AR280" s="16"/>
      <c r="AT280" s="16"/>
      <c r="AV280" s="16"/>
    </row>
    <row r="281" spans="3:48" ht="12.75">
      <c r="C281" s="16"/>
      <c r="E281" s="16"/>
      <c r="G281" s="16"/>
      <c r="I281" s="16"/>
      <c r="K281" s="16"/>
      <c r="M281" s="16"/>
      <c r="O281" s="16"/>
      <c r="Q281" s="16"/>
      <c r="R281" s="16"/>
      <c r="T281" s="16"/>
      <c r="V281" s="16"/>
      <c r="X281" s="16"/>
      <c r="Z281" s="16"/>
      <c r="AB281" s="16"/>
      <c r="AD281" s="16"/>
      <c r="AF281" s="16"/>
      <c r="AH281" s="16"/>
      <c r="AJ281" s="16"/>
      <c r="AL281" s="16"/>
      <c r="AN281" s="16"/>
      <c r="AP281" s="16"/>
      <c r="AR281" s="16"/>
      <c r="AT281" s="16"/>
      <c r="AV281" s="16"/>
    </row>
    <row r="282" spans="3:48" ht="12.75">
      <c r="C282" s="16"/>
      <c r="E282" s="16"/>
      <c r="G282" s="16"/>
      <c r="I282" s="16"/>
      <c r="K282" s="16"/>
      <c r="M282" s="16"/>
      <c r="O282" s="16"/>
      <c r="Q282" s="16"/>
      <c r="R282" s="16"/>
      <c r="T282" s="16"/>
      <c r="V282" s="16"/>
      <c r="X282" s="16"/>
      <c r="Z282" s="16"/>
      <c r="AB282" s="16"/>
      <c r="AD282" s="16"/>
      <c r="AF282" s="16"/>
      <c r="AH282" s="16"/>
      <c r="AJ282" s="16"/>
      <c r="AL282" s="16"/>
      <c r="AN282" s="16"/>
      <c r="AP282" s="16"/>
      <c r="AR282" s="16"/>
      <c r="AT282" s="16"/>
      <c r="AV282" s="16"/>
    </row>
    <row r="283" spans="3:48" ht="12.75">
      <c r="C283" s="16"/>
      <c r="E283" s="16"/>
      <c r="G283" s="16"/>
      <c r="I283" s="16"/>
      <c r="K283" s="16"/>
      <c r="M283" s="16"/>
      <c r="O283" s="16"/>
      <c r="Q283" s="16"/>
      <c r="R283" s="16"/>
      <c r="T283" s="16"/>
      <c r="V283" s="16"/>
      <c r="X283" s="16"/>
      <c r="Z283" s="16"/>
      <c r="AB283" s="16"/>
      <c r="AD283" s="16"/>
      <c r="AF283" s="16"/>
      <c r="AH283" s="16"/>
      <c r="AJ283" s="16"/>
      <c r="AL283" s="16"/>
      <c r="AN283" s="16"/>
      <c r="AP283" s="16"/>
      <c r="AR283" s="16"/>
      <c r="AT283" s="16"/>
      <c r="AV283" s="16"/>
    </row>
    <row r="284" spans="3:48" ht="12.75">
      <c r="C284" s="16"/>
      <c r="E284" s="16"/>
      <c r="G284" s="16"/>
      <c r="I284" s="16"/>
      <c r="K284" s="16"/>
      <c r="M284" s="16"/>
      <c r="O284" s="16"/>
      <c r="Q284" s="16"/>
      <c r="R284" s="16"/>
      <c r="T284" s="16"/>
      <c r="V284" s="16"/>
      <c r="X284" s="16"/>
      <c r="Z284" s="16"/>
      <c r="AB284" s="16"/>
      <c r="AD284" s="16"/>
      <c r="AF284" s="16"/>
      <c r="AH284" s="16"/>
      <c r="AJ284" s="16"/>
      <c r="AL284" s="16"/>
      <c r="AN284" s="16"/>
      <c r="AP284" s="16"/>
      <c r="AR284" s="16"/>
      <c r="AT284" s="16"/>
      <c r="AV284" s="16"/>
    </row>
    <row r="285" spans="3:48" ht="12.75">
      <c r="C285" s="16"/>
      <c r="E285" s="16"/>
      <c r="G285" s="16"/>
      <c r="I285" s="16"/>
      <c r="K285" s="16"/>
      <c r="M285" s="16"/>
      <c r="O285" s="16"/>
      <c r="Q285" s="16"/>
      <c r="R285" s="16"/>
      <c r="T285" s="16"/>
      <c r="V285" s="16"/>
      <c r="X285" s="16"/>
      <c r="Z285" s="16"/>
      <c r="AB285" s="16"/>
      <c r="AD285" s="16"/>
      <c r="AF285" s="16"/>
      <c r="AH285" s="16"/>
      <c r="AJ285" s="16"/>
      <c r="AL285" s="16"/>
      <c r="AN285" s="16"/>
      <c r="AP285" s="16"/>
      <c r="AR285" s="16"/>
      <c r="AT285" s="16"/>
      <c r="AV285" s="16"/>
    </row>
    <row r="286" spans="3:48" ht="12.75">
      <c r="C286" s="16"/>
      <c r="E286" s="16"/>
      <c r="G286" s="16"/>
      <c r="I286" s="16"/>
      <c r="K286" s="16"/>
      <c r="M286" s="16"/>
      <c r="O286" s="16"/>
      <c r="Q286" s="16"/>
      <c r="R286" s="16"/>
      <c r="T286" s="16"/>
      <c r="V286" s="16"/>
      <c r="X286" s="16"/>
      <c r="Z286" s="16"/>
      <c r="AB286" s="16"/>
      <c r="AD286" s="16"/>
      <c r="AF286" s="16"/>
      <c r="AH286" s="16"/>
      <c r="AJ286" s="16"/>
      <c r="AL286" s="16"/>
      <c r="AN286" s="16"/>
      <c r="AP286" s="16"/>
      <c r="AR286" s="16"/>
      <c r="AT286" s="16"/>
      <c r="AV286" s="16"/>
    </row>
    <row r="287" spans="3:48" ht="12.75">
      <c r="C287" s="16"/>
      <c r="E287" s="16"/>
      <c r="G287" s="16"/>
      <c r="I287" s="16"/>
      <c r="K287" s="16"/>
      <c r="M287" s="16"/>
      <c r="O287" s="16"/>
      <c r="Q287" s="16"/>
      <c r="R287" s="16"/>
      <c r="T287" s="16"/>
      <c r="V287" s="16"/>
      <c r="X287" s="16"/>
      <c r="Z287" s="16"/>
      <c r="AB287" s="16"/>
      <c r="AD287" s="16"/>
      <c r="AF287" s="16"/>
      <c r="AH287" s="16"/>
      <c r="AJ287" s="16"/>
      <c r="AL287" s="16"/>
      <c r="AN287" s="16"/>
      <c r="AP287" s="16"/>
      <c r="AR287" s="16"/>
      <c r="AT287" s="16"/>
      <c r="AV287" s="16"/>
    </row>
    <row r="288" spans="3:48" ht="12.75">
      <c r="C288" s="16"/>
      <c r="E288" s="16"/>
      <c r="G288" s="16"/>
      <c r="I288" s="16"/>
      <c r="K288" s="16"/>
      <c r="M288" s="16"/>
      <c r="O288" s="16"/>
      <c r="Q288" s="16"/>
      <c r="R288" s="16"/>
      <c r="T288" s="16"/>
      <c r="V288" s="16"/>
      <c r="X288" s="16"/>
      <c r="Z288" s="16"/>
      <c r="AB288" s="16"/>
      <c r="AD288" s="16"/>
      <c r="AF288" s="16"/>
      <c r="AH288" s="16"/>
      <c r="AJ288" s="16"/>
      <c r="AL288" s="16"/>
      <c r="AN288" s="16"/>
      <c r="AP288" s="16"/>
      <c r="AR288" s="16"/>
      <c r="AT288" s="16"/>
      <c r="AV288" s="16"/>
    </row>
    <row r="289" spans="3:48" ht="12.75">
      <c r="C289" s="16"/>
      <c r="E289" s="16"/>
      <c r="G289" s="16"/>
      <c r="I289" s="16"/>
      <c r="K289" s="16"/>
      <c r="M289" s="16"/>
      <c r="O289" s="16"/>
      <c r="Q289" s="16"/>
      <c r="R289" s="16"/>
      <c r="T289" s="16"/>
      <c r="V289" s="16"/>
      <c r="X289" s="16"/>
      <c r="Z289" s="16"/>
      <c r="AB289" s="16"/>
      <c r="AD289" s="16"/>
      <c r="AF289" s="16"/>
      <c r="AH289" s="16"/>
      <c r="AJ289" s="16"/>
      <c r="AL289" s="16"/>
      <c r="AN289" s="16"/>
      <c r="AP289" s="16"/>
      <c r="AR289" s="16"/>
      <c r="AT289" s="16"/>
      <c r="AV289" s="16"/>
    </row>
    <row r="290" spans="3:48" ht="12.75">
      <c r="C290" s="16"/>
      <c r="E290" s="16"/>
      <c r="G290" s="16"/>
      <c r="I290" s="16"/>
      <c r="K290" s="16"/>
      <c r="M290" s="16"/>
      <c r="O290" s="16"/>
      <c r="Q290" s="16"/>
      <c r="R290" s="16"/>
      <c r="T290" s="16"/>
      <c r="V290" s="16"/>
      <c r="X290" s="16"/>
      <c r="Z290" s="16"/>
      <c r="AB290" s="16"/>
      <c r="AD290" s="16"/>
      <c r="AF290" s="16"/>
      <c r="AH290" s="16"/>
      <c r="AJ290" s="16"/>
      <c r="AL290" s="16"/>
      <c r="AN290" s="16"/>
      <c r="AP290" s="16"/>
      <c r="AR290" s="16"/>
      <c r="AT290" s="16"/>
      <c r="AV290" s="16"/>
    </row>
    <row r="291" spans="3:48" ht="12.75">
      <c r="C291" s="16"/>
      <c r="E291" s="16"/>
      <c r="G291" s="16"/>
      <c r="I291" s="16"/>
      <c r="K291" s="16"/>
      <c r="M291" s="16"/>
      <c r="O291" s="16"/>
      <c r="Q291" s="16"/>
      <c r="R291" s="16"/>
      <c r="T291" s="16"/>
      <c r="V291" s="16"/>
      <c r="X291" s="16"/>
      <c r="Z291" s="16"/>
      <c r="AB291" s="16"/>
      <c r="AD291" s="16"/>
      <c r="AF291" s="16"/>
      <c r="AH291" s="16"/>
      <c r="AJ291" s="16"/>
      <c r="AL291" s="16"/>
      <c r="AN291" s="16"/>
      <c r="AP291" s="16"/>
      <c r="AR291" s="16"/>
      <c r="AT291" s="16"/>
      <c r="AV291" s="16"/>
    </row>
    <row r="292" spans="3:48" ht="12.75">
      <c r="C292" s="16"/>
      <c r="E292" s="16"/>
      <c r="G292" s="16"/>
      <c r="I292" s="16"/>
      <c r="K292" s="16"/>
      <c r="M292" s="16"/>
      <c r="O292" s="16"/>
      <c r="Q292" s="16"/>
      <c r="R292" s="16"/>
      <c r="T292" s="16"/>
      <c r="V292" s="16"/>
      <c r="X292" s="16"/>
      <c r="Z292" s="16"/>
      <c r="AB292" s="16"/>
      <c r="AD292" s="16"/>
      <c r="AF292" s="16"/>
      <c r="AH292" s="16"/>
      <c r="AJ292" s="16"/>
      <c r="AL292" s="16"/>
      <c r="AN292" s="16"/>
      <c r="AP292" s="16"/>
      <c r="AR292" s="16"/>
      <c r="AT292" s="16"/>
      <c r="AV292" s="16"/>
    </row>
    <row r="293" spans="3:48" ht="12.75">
      <c r="C293" s="16"/>
      <c r="E293" s="16"/>
      <c r="G293" s="16"/>
      <c r="I293" s="16"/>
      <c r="K293" s="16"/>
      <c r="M293" s="16"/>
      <c r="O293" s="16"/>
      <c r="Q293" s="16"/>
      <c r="R293" s="16"/>
      <c r="T293" s="16"/>
      <c r="V293" s="16"/>
      <c r="X293" s="16"/>
      <c r="Z293" s="16"/>
      <c r="AB293" s="16"/>
      <c r="AD293" s="16"/>
      <c r="AF293" s="16"/>
      <c r="AH293" s="16"/>
      <c r="AJ293" s="16"/>
      <c r="AL293" s="16"/>
      <c r="AN293" s="16"/>
      <c r="AP293" s="16"/>
      <c r="AR293" s="16"/>
      <c r="AT293" s="16"/>
      <c r="AV293" s="16"/>
    </row>
    <row r="294" spans="3:48" ht="12.75">
      <c r="C294" s="16"/>
      <c r="E294" s="16"/>
      <c r="G294" s="16"/>
      <c r="I294" s="16"/>
      <c r="K294" s="16"/>
      <c r="M294" s="16"/>
      <c r="O294" s="16"/>
      <c r="Q294" s="16"/>
      <c r="R294" s="16"/>
      <c r="T294" s="16"/>
      <c r="V294" s="16"/>
      <c r="X294" s="16"/>
      <c r="Z294" s="16"/>
      <c r="AB294" s="16"/>
      <c r="AD294" s="16"/>
      <c r="AF294" s="16"/>
      <c r="AH294" s="16"/>
      <c r="AJ294" s="16"/>
      <c r="AL294" s="16"/>
      <c r="AN294" s="16"/>
      <c r="AP294" s="16"/>
      <c r="AR294" s="16"/>
      <c r="AT294" s="16"/>
      <c r="AV294" s="16"/>
    </row>
    <row r="295" spans="3:48" ht="12.75">
      <c r="C295" s="16"/>
      <c r="E295" s="16"/>
      <c r="G295" s="16"/>
      <c r="I295" s="16"/>
      <c r="K295" s="16"/>
      <c r="M295" s="16"/>
      <c r="O295" s="16"/>
      <c r="Q295" s="16"/>
      <c r="R295" s="16"/>
      <c r="T295" s="16"/>
      <c r="V295" s="16"/>
      <c r="X295" s="16"/>
      <c r="Z295" s="16"/>
      <c r="AB295" s="16"/>
      <c r="AD295" s="16"/>
      <c r="AF295" s="16"/>
      <c r="AH295" s="16"/>
      <c r="AJ295" s="16"/>
      <c r="AL295" s="16"/>
      <c r="AN295" s="16"/>
      <c r="AP295" s="16"/>
      <c r="AR295" s="16"/>
      <c r="AT295" s="16"/>
      <c r="AV295" s="16"/>
    </row>
    <row r="296" spans="3:48" ht="12.75">
      <c r="C296" s="16"/>
      <c r="E296" s="16"/>
      <c r="G296" s="16"/>
      <c r="I296" s="16"/>
      <c r="K296" s="16"/>
      <c r="M296" s="16"/>
      <c r="O296" s="16"/>
      <c r="Q296" s="16"/>
      <c r="R296" s="16"/>
      <c r="T296" s="16"/>
      <c r="V296" s="16"/>
      <c r="X296" s="16"/>
      <c r="Z296" s="16"/>
      <c r="AB296" s="16"/>
      <c r="AD296" s="16"/>
      <c r="AF296" s="16"/>
      <c r="AH296" s="16"/>
      <c r="AJ296" s="16"/>
      <c r="AL296" s="16"/>
      <c r="AN296" s="16"/>
      <c r="AP296" s="16"/>
      <c r="AR296" s="16"/>
      <c r="AT296" s="16"/>
      <c r="AV296" s="16"/>
    </row>
    <row r="297" spans="3:48" ht="12.75">
      <c r="C297" s="16"/>
      <c r="E297" s="16"/>
      <c r="G297" s="16"/>
      <c r="I297" s="16"/>
      <c r="K297" s="16"/>
      <c r="M297" s="16"/>
      <c r="O297" s="16"/>
      <c r="Q297" s="16"/>
      <c r="R297" s="16"/>
      <c r="T297" s="16"/>
      <c r="V297" s="16"/>
      <c r="X297" s="16"/>
      <c r="Z297" s="16"/>
      <c r="AB297" s="16"/>
      <c r="AD297" s="16"/>
      <c r="AF297" s="16"/>
      <c r="AH297" s="16"/>
      <c r="AJ297" s="16"/>
      <c r="AL297" s="16"/>
      <c r="AN297" s="16"/>
      <c r="AP297" s="16"/>
      <c r="AR297" s="16"/>
      <c r="AT297" s="16"/>
      <c r="AV297" s="16"/>
    </row>
    <row r="298" spans="3:48" ht="12.75">
      <c r="C298" s="16"/>
      <c r="E298" s="16"/>
      <c r="G298" s="16"/>
      <c r="I298" s="16"/>
      <c r="K298" s="16"/>
      <c r="M298" s="16"/>
      <c r="O298" s="16"/>
      <c r="Q298" s="16"/>
      <c r="R298" s="16"/>
      <c r="T298" s="16"/>
      <c r="V298" s="16"/>
      <c r="X298" s="16"/>
      <c r="Z298" s="16"/>
      <c r="AB298" s="16"/>
      <c r="AD298" s="16"/>
      <c r="AF298" s="16"/>
      <c r="AH298" s="16"/>
      <c r="AJ298" s="16"/>
      <c r="AL298" s="16"/>
      <c r="AN298" s="16"/>
      <c r="AP298" s="16"/>
      <c r="AR298" s="16"/>
      <c r="AT298" s="16"/>
      <c r="AV298" s="16"/>
    </row>
    <row r="299" spans="3:48" ht="12.75">
      <c r="C299" s="16"/>
      <c r="E299" s="16"/>
      <c r="G299" s="16"/>
      <c r="I299" s="16"/>
      <c r="K299" s="16"/>
      <c r="M299" s="16"/>
      <c r="O299" s="16"/>
      <c r="Q299" s="16"/>
      <c r="R299" s="16"/>
      <c r="T299" s="16"/>
      <c r="V299" s="16"/>
      <c r="X299" s="16"/>
      <c r="Z299" s="16"/>
      <c r="AB299" s="16"/>
      <c r="AD299" s="16"/>
      <c r="AF299" s="16"/>
      <c r="AH299" s="16"/>
      <c r="AJ299" s="16"/>
      <c r="AL299" s="16"/>
      <c r="AN299" s="16"/>
      <c r="AP299" s="16"/>
      <c r="AR299" s="16"/>
      <c r="AT299" s="16"/>
      <c r="AV299" s="16"/>
    </row>
    <row r="300" spans="3:48" ht="12.75">
      <c r="C300" s="16"/>
      <c r="E300" s="16"/>
      <c r="G300" s="16"/>
      <c r="I300" s="16"/>
      <c r="K300" s="16"/>
      <c r="M300" s="16"/>
      <c r="O300" s="16"/>
      <c r="Q300" s="16"/>
      <c r="R300" s="16"/>
      <c r="T300" s="16"/>
      <c r="V300" s="16"/>
      <c r="X300" s="16"/>
      <c r="Z300" s="16"/>
      <c r="AB300" s="16"/>
      <c r="AD300" s="16"/>
      <c r="AF300" s="16"/>
      <c r="AH300" s="16"/>
      <c r="AJ300" s="16"/>
      <c r="AL300" s="16"/>
      <c r="AN300" s="16"/>
      <c r="AP300" s="16"/>
      <c r="AR300" s="16"/>
      <c r="AT300" s="16"/>
      <c r="AV300" s="16"/>
    </row>
    <row r="301" spans="3:48" ht="12.75">
      <c r="C301" s="16"/>
      <c r="E301" s="16"/>
      <c r="G301" s="16"/>
      <c r="I301" s="16"/>
      <c r="K301" s="16"/>
      <c r="M301" s="16"/>
      <c r="O301" s="16"/>
      <c r="Q301" s="16"/>
      <c r="R301" s="16"/>
      <c r="T301" s="16"/>
      <c r="V301" s="16"/>
      <c r="X301" s="16"/>
      <c r="Z301" s="16"/>
      <c r="AB301" s="16"/>
      <c r="AD301" s="16"/>
      <c r="AF301" s="16"/>
      <c r="AH301" s="16"/>
      <c r="AJ301" s="16"/>
      <c r="AL301" s="16"/>
      <c r="AN301" s="16"/>
      <c r="AP301" s="16"/>
      <c r="AR301" s="16"/>
      <c r="AT301" s="16"/>
      <c r="AV301" s="16"/>
    </row>
    <row r="302" spans="3:48" ht="12.75">
      <c r="C302" s="16"/>
      <c r="E302" s="16"/>
      <c r="G302" s="16"/>
      <c r="I302" s="16"/>
      <c r="K302" s="16"/>
      <c r="M302" s="16"/>
      <c r="O302" s="16"/>
      <c r="Q302" s="16"/>
      <c r="R302" s="16"/>
      <c r="T302" s="16"/>
      <c r="V302" s="16"/>
      <c r="X302" s="16"/>
      <c r="Z302" s="16"/>
      <c r="AB302" s="16"/>
      <c r="AD302" s="16"/>
      <c r="AF302" s="16"/>
      <c r="AH302" s="16"/>
      <c r="AJ302" s="16"/>
      <c r="AL302" s="16"/>
      <c r="AN302" s="16"/>
      <c r="AP302" s="16"/>
      <c r="AR302" s="16"/>
      <c r="AT302" s="16"/>
      <c r="AV302" s="16"/>
    </row>
    <row r="303" spans="3:48" ht="12.75">
      <c r="C303" s="16"/>
      <c r="E303" s="16"/>
      <c r="G303" s="16"/>
      <c r="I303" s="16"/>
      <c r="K303" s="16"/>
      <c r="M303" s="16"/>
      <c r="O303" s="16"/>
      <c r="Q303" s="16"/>
      <c r="R303" s="16"/>
      <c r="T303" s="16"/>
      <c r="V303" s="16"/>
      <c r="X303" s="16"/>
      <c r="Z303" s="16"/>
      <c r="AB303" s="16"/>
      <c r="AD303" s="16"/>
      <c r="AF303" s="16"/>
      <c r="AH303" s="16"/>
      <c r="AJ303" s="16"/>
      <c r="AL303" s="16"/>
      <c r="AN303" s="16"/>
      <c r="AP303" s="16"/>
      <c r="AR303" s="16"/>
      <c r="AT303" s="16"/>
      <c r="AV303" s="16"/>
    </row>
    <row r="304" spans="3:48" ht="12.75">
      <c r="C304" s="16"/>
      <c r="E304" s="16"/>
      <c r="G304" s="16"/>
      <c r="I304" s="16"/>
      <c r="K304" s="16"/>
      <c r="M304" s="16"/>
      <c r="O304" s="16"/>
      <c r="Q304" s="16"/>
      <c r="R304" s="16"/>
      <c r="T304" s="16"/>
      <c r="V304" s="16"/>
      <c r="X304" s="16"/>
      <c r="Z304" s="16"/>
      <c r="AB304" s="16"/>
      <c r="AD304" s="16"/>
      <c r="AF304" s="16"/>
      <c r="AH304" s="16"/>
      <c r="AJ304" s="16"/>
      <c r="AL304" s="16"/>
      <c r="AN304" s="16"/>
      <c r="AP304" s="16"/>
      <c r="AR304" s="16"/>
      <c r="AT304" s="16"/>
      <c r="AV304" s="16"/>
    </row>
    <row r="305" spans="3:48" ht="12.75">
      <c r="C305" s="16"/>
      <c r="E305" s="16"/>
      <c r="G305" s="16"/>
      <c r="I305" s="16"/>
      <c r="K305" s="16"/>
      <c r="M305" s="16"/>
      <c r="O305" s="16"/>
      <c r="Q305" s="16"/>
      <c r="R305" s="16"/>
      <c r="T305" s="16"/>
      <c r="V305" s="16"/>
      <c r="X305" s="16"/>
      <c r="Z305" s="16"/>
      <c r="AB305" s="16"/>
      <c r="AD305" s="16"/>
      <c r="AF305" s="16"/>
      <c r="AH305" s="16"/>
      <c r="AJ305" s="16"/>
      <c r="AL305" s="16"/>
      <c r="AN305" s="16"/>
      <c r="AP305" s="16"/>
      <c r="AR305" s="16"/>
      <c r="AT305" s="16"/>
      <c r="AV305" s="16"/>
    </row>
    <row r="306" spans="3:48" ht="12.75">
      <c r="C306" s="16"/>
      <c r="E306" s="16"/>
      <c r="G306" s="16"/>
      <c r="I306" s="16"/>
      <c r="K306" s="16"/>
      <c r="M306" s="16"/>
      <c r="O306" s="16"/>
      <c r="Q306" s="16"/>
      <c r="R306" s="16"/>
      <c r="T306" s="16"/>
      <c r="V306" s="16"/>
      <c r="X306" s="16"/>
      <c r="Z306" s="16"/>
      <c r="AB306" s="16"/>
      <c r="AD306" s="16"/>
      <c r="AF306" s="16"/>
      <c r="AH306" s="16"/>
      <c r="AJ306" s="16"/>
      <c r="AL306" s="16"/>
      <c r="AN306" s="16"/>
      <c r="AP306" s="16"/>
      <c r="AR306" s="16"/>
      <c r="AT306" s="16"/>
      <c r="AV306" s="16"/>
    </row>
    <row r="307" spans="3:48" ht="12.75">
      <c r="C307" s="16"/>
      <c r="E307" s="16"/>
      <c r="G307" s="16"/>
      <c r="I307" s="16"/>
      <c r="K307" s="16"/>
      <c r="M307" s="16"/>
      <c r="O307" s="16"/>
      <c r="Q307" s="16"/>
      <c r="R307" s="16"/>
      <c r="T307" s="16"/>
      <c r="V307" s="16"/>
      <c r="X307" s="16"/>
      <c r="Z307" s="16"/>
      <c r="AB307" s="16"/>
      <c r="AD307" s="16"/>
      <c r="AF307" s="16"/>
      <c r="AH307" s="16"/>
      <c r="AJ307" s="16"/>
      <c r="AL307" s="16"/>
      <c r="AN307" s="16"/>
      <c r="AP307" s="16"/>
      <c r="AR307" s="16"/>
      <c r="AT307" s="16"/>
      <c r="AV307" s="16"/>
    </row>
    <row r="308" spans="3:48" ht="12.75">
      <c r="C308" s="16"/>
      <c r="E308" s="16"/>
      <c r="G308" s="16"/>
      <c r="I308" s="16"/>
      <c r="K308" s="16"/>
      <c r="M308" s="16"/>
      <c r="O308" s="16"/>
      <c r="Q308" s="16"/>
      <c r="R308" s="16"/>
      <c r="T308" s="16"/>
      <c r="V308" s="16"/>
      <c r="X308" s="16"/>
      <c r="Z308" s="16"/>
      <c r="AB308" s="16"/>
      <c r="AD308" s="16"/>
      <c r="AF308" s="16"/>
      <c r="AH308" s="16"/>
      <c r="AJ308" s="16"/>
      <c r="AL308" s="16"/>
      <c r="AN308" s="16"/>
      <c r="AP308" s="16"/>
      <c r="AR308" s="16"/>
      <c r="AT308" s="16"/>
      <c r="AV308" s="16"/>
    </row>
    <row r="309" spans="3:48" ht="12.75">
      <c r="C309" s="16"/>
      <c r="E309" s="16"/>
      <c r="G309" s="16"/>
      <c r="I309" s="16"/>
      <c r="K309" s="16"/>
      <c r="M309" s="16"/>
      <c r="O309" s="16"/>
      <c r="Q309" s="16"/>
      <c r="R309" s="16"/>
      <c r="T309" s="16"/>
      <c r="V309" s="16"/>
      <c r="X309" s="16"/>
      <c r="Z309" s="16"/>
      <c r="AB309" s="16"/>
      <c r="AD309" s="16"/>
      <c r="AF309" s="16"/>
      <c r="AH309" s="16"/>
      <c r="AJ309" s="16"/>
      <c r="AL309" s="16"/>
      <c r="AN309" s="16"/>
      <c r="AP309" s="16"/>
      <c r="AR309" s="16"/>
      <c r="AT309" s="16"/>
      <c r="AV309" s="16"/>
    </row>
    <row r="310" spans="3:48" ht="12.75">
      <c r="C310" s="16"/>
      <c r="E310" s="16"/>
      <c r="G310" s="16"/>
      <c r="I310" s="16"/>
      <c r="K310" s="16"/>
      <c r="M310" s="16"/>
      <c r="O310" s="16"/>
      <c r="Q310" s="16"/>
      <c r="R310" s="16"/>
      <c r="T310" s="16"/>
      <c r="V310" s="16"/>
      <c r="X310" s="16"/>
      <c r="Z310" s="16"/>
      <c r="AB310" s="16"/>
      <c r="AD310" s="16"/>
      <c r="AF310" s="16"/>
      <c r="AH310" s="16"/>
      <c r="AJ310" s="16"/>
      <c r="AL310" s="16"/>
      <c r="AN310" s="16"/>
      <c r="AP310" s="16"/>
      <c r="AR310" s="16"/>
      <c r="AT310" s="16"/>
      <c r="AV310" s="16"/>
    </row>
    <row r="311" spans="3:48" ht="12.75">
      <c r="C311" s="16"/>
      <c r="E311" s="16"/>
      <c r="G311" s="16"/>
      <c r="I311" s="16"/>
      <c r="K311" s="16"/>
      <c r="M311" s="16"/>
      <c r="O311" s="16"/>
      <c r="Q311" s="16"/>
      <c r="R311" s="16"/>
      <c r="T311" s="16"/>
      <c r="V311" s="16"/>
      <c r="X311" s="16"/>
      <c r="Z311" s="16"/>
      <c r="AB311" s="16"/>
      <c r="AD311" s="16"/>
      <c r="AF311" s="16"/>
      <c r="AH311" s="16"/>
      <c r="AJ311" s="16"/>
      <c r="AL311" s="16"/>
      <c r="AN311" s="16"/>
      <c r="AP311" s="16"/>
      <c r="AR311" s="16"/>
      <c r="AT311" s="16"/>
      <c r="AV311" s="16"/>
    </row>
    <row r="312" spans="3:48" ht="12.75">
      <c r="C312" s="16"/>
      <c r="E312" s="16"/>
      <c r="G312" s="16"/>
      <c r="I312" s="16"/>
      <c r="K312" s="16"/>
      <c r="M312" s="16"/>
      <c r="O312" s="16"/>
      <c r="Q312" s="16"/>
      <c r="R312" s="16"/>
      <c r="T312" s="16"/>
      <c r="V312" s="16"/>
      <c r="X312" s="16"/>
      <c r="Z312" s="16"/>
      <c r="AB312" s="16"/>
      <c r="AD312" s="16"/>
      <c r="AF312" s="16"/>
      <c r="AH312" s="16"/>
      <c r="AJ312" s="16"/>
      <c r="AL312" s="16"/>
      <c r="AN312" s="16"/>
      <c r="AP312" s="16"/>
      <c r="AR312" s="16"/>
      <c r="AT312" s="16"/>
      <c r="AV312" s="16"/>
    </row>
    <row r="313" spans="3:48" ht="12.75">
      <c r="C313" s="16"/>
      <c r="E313" s="16"/>
      <c r="G313" s="16"/>
      <c r="I313" s="16"/>
      <c r="K313" s="16"/>
      <c r="M313" s="16"/>
      <c r="O313" s="16"/>
      <c r="Q313" s="16"/>
      <c r="R313" s="16"/>
      <c r="T313" s="16"/>
      <c r="V313" s="16"/>
      <c r="X313" s="16"/>
      <c r="Z313" s="16"/>
      <c r="AB313" s="16"/>
      <c r="AD313" s="16"/>
      <c r="AF313" s="16"/>
      <c r="AH313" s="16"/>
      <c r="AJ313" s="16"/>
      <c r="AL313" s="16"/>
      <c r="AN313" s="16"/>
      <c r="AP313" s="16"/>
      <c r="AR313" s="16"/>
      <c r="AT313" s="16"/>
      <c r="AV313" s="16"/>
    </row>
    <row r="314" spans="3:48" ht="12.75">
      <c r="C314" s="16"/>
      <c r="E314" s="16"/>
      <c r="G314" s="16"/>
      <c r="I314" s="16"/>
      <c r="K314" s="16"/>
      <c r="M314" s="16"/>
      <c r="O314" s="16"/>
      <c r="Q314" s="16"/>
      <c r="R314" s="16"/>
      <c r="T314" s="16"/>
      <c r="V314" s="16"/>
      <c r="X314" s="16"/>
      <c r="Z314" s="16"/>
      <c r="AB314" s="16"/>
      <c r="AD314" s="16"/>
      <c r="AF314" s="16"/>
      <c r="AH314" s="16"/>
      <c r="AJ314" s="16"/>
      <c r="AL314" s="16"/>
      <c r="AN314" s="16"/>
      <c r="AP314" s="16"/>
      <c r="AR314" s="16"/>
      <c r="AT314" s="16"/>
      <c r="AV314" s="16"/>
    </row>
    <row r="315" spans="3:48" ht="12.75">
      <c r="C315" s="16"/>
      <c r="E315" s="16"/>
      <c r="G315" s="16"/>
      <c r="I315" s="16"/>
      <c r="K315" s="16"/>
      <c r="M315" s="16"/>
      <c r="O315" s="16"/>
      <c r="Q315" s="16"/>
      <c r="R315" s="16"/>
      <c r="T315" s="16"/>
      <c r="V315" s="16"/>
      <c r="X315" s="16"/>
      <c r="Z315" s="16"/>
      <c r="AB315" s="16"/>
      <c r="AD315" s="16"/>
      <c r="AF315" s="16"/>
      <c r="AH315" s="16"/>
      <c r="AJ315" s="16"/>
      <c r="AL315" s="16"/>
      <c r="AN315" s="16"/>
      <c r="AP315" s="16"/>
      <c r="AR315" s="16"/>
      <c r="AT315" s="16"/>
      <c r="AV315" s="16"/>
    </row>
    <row r="316" spans="3:48" ht="12.75">
      <c r="C316" s="16"/>
      <c r="E316" s="16"/>
      <c r="G316" s="16"/>
      <c r="I316" s="16"/>
      <c r="K316" s="16"/>
      <c r="M316" s="16"/>
      <c r="O316" s="16"/>
      <c r="Q316" s="16"/>
      <c r="R316" s="16"/>
      <c r="T316" s="16"/>
      <c r="V316" s="16"/>
      <c r="X316" s="16"/>
      <c r="Z316" s="16"/>
      <c r="AB316" s="16"/>
      <c r="AD316" s="16"/>
      <c r="AF316" s="16"/>
      <c r="AH316" s="16"/>
      <c r="AJ316" s="16"/>
      <c r="AL316" s="16"/>
      <c r="AN316" s="16"/>
      <c r="AP316" s="16"/>
      <c r="AR316" s="16"/>
      <c r="AT316" s="16"/>
      <c r="AV316" s="16"/>
    </row>
    <row r="317" spans="3:48" ht="12.75">
      <c r="C317" s="16"/>
      <c r="E317" s="16"/>
      <c r="G317" s="16"/>
      <c r="I317" s="16"/>
      <c r="K317" s="16"/>
      <c r="M317" s="16"/>
      <c r="O317" s="16"/>
      <c r="Q317" s="16"/>
      <c r="R317" s="16"/>
      <c r="T317" s="16"/>
      <c r="V317" s="16"/>
      <c r="X317" s="16"/>
      <c r="Z317" s="16"/>
      <c r="AB317" s="16"/>
      <c r="AD317" s="16"/>
      <c r="AF317" s="16"/>
      <c r="AH317" s="16"/>
      <c r="AJ317" s="16"/>
      <c r="AL317" s="16"/>
      <c r="AN317" s="16"/>
      <c r="AP317" s="16"/>
      <c r="AR317" s="16"/>
      <c r="AT317" s="16"/>
      <c r="AV317" s="16"/>
    </row>
    <row r="318" spans="3:48" ht="12.75">
      <c r="C318" s="16"/>
      <c r="E318" s="16"/>
      <c r="G318" s="16"/>
      <c r="I318" s="16"/>
      <c r="K318" s="16"/>
      <c r="M318" s="16"/>
      <c r="O318" s="16"/>
      <c r="Q318" s="16"/>
      <c r="R318" s="16"/>
      <c r="T318" s="16"/>
      <c r="V318" s="16"/>
      <c r="X318" s="16"/>
      <c r="Z318" s="16"/>
      <c r="AB318" s="16"/>
      <c r="AD318" s="16"/>
      <c r="AF318" s="16"/>
      <c r="AH318" s="16"/>
      <c r="AJ318" s="16"/>
      <c r="AL318" s="16"/>
      <c r="AN318" s="16"/>
      <c r="AP318" s="16"/>
      <c r="AR318" s="16"/>
      <c r="AT318" s="16"/>
      <c r="AV318" s="16"/>
    </row>
    <row r="319" spans="3:48" ht="12.75">
      <c r="C319" s="16"/>
      <c r="E319" s="16"/>
      <c r="G319" s="16"/>
      <c r="I319" s="16"/>
      <c r="K319" s="16"/>
      <c r="M319" s="16"/>
      <c r="O319" s="16"/>
      <c r="Q319" s="16"/>
      <c r="R319" s="16"/>
      <c r="T319" s="16"/>
      <c r="V319" s="16"/>
      <c r="X319" s="16"/>
      <c r="Z319" s="16"/>
      <c r="AB319" s="16"/>
      <c r="AD319" s="16"/>
      <c r="AF319" s="16"/>
      <c r="AH319" s="16"/>
      <c r="AJ319" s="16"/>
      <c r="AL319" s="16"/>
      <c r="AN319" s="16"/>
      <c r="AP319" s="16"/>
      <c r="AR319" s="16"/>
      <c r="AT319" s="16"/>
      <c r="AV319" s="16"/>
    </row>
    <row r="320" spans="3:48" ht="12.75">
      <c r="C320" s="16"/>
      <c r="E320" s="16"/>
      <c r="G320" s="16"/>
      <c r="I320" s="16"/>
      <c r="K320" s="16"/>
      <c r="M320" s="16"/>
      <c r="O320" s="16"/>
      <c r="Q320" s="16"/>
      <c r="R320" s="16"/>
      <c r="T320" s="16"/>
      <c r="V320" s="16"/>
      <c r="X320" s="16"/>
      <c r="Z320" s="16"/>
      <c r="AB320" s="16"/>
      <c r="AD320" s="16"/>
      <c r="AF320" s="16"/>
      <c r="AH320" s="16"/>
      <c r="AJ320" s="16"/>
      <c r="AL320" s="16"/>
      <c r="AN320" s="16"/>
      <c r="AP320" s="16"/>
      <c r="AR320" s="16"/>
      <c r="AT320" s="16"/>
      <c r="AV320" s="16"/>
    </row>
    <row r="321" spans="3:48" ht="12.75">
      <c r="C321" s="16"/>
      <c r="E321" s="16"/>
      <c r="G321" s="16"/>
      <c r="I321" s="16"/>
      <c r="K321" s="16"/>
      <c r="M321" s="16"/>
      <c r="O321" s="16"/>
      <c r="Q321" s="16"/>
      <c r="R321" s="16"/>
      <c r="T321" s="16"/>
      <c r="V321" s="16"/>
      <c r="X321" s="16"/>
      <c r="Z321" s="16"/>
      <c r="AB321" s="16"/>
      <c r="AD321" s="16"/>
      <c r="AF321" s="16"/>
      <c r="AH321" s="16"/>
      <c r="AJ321" s="16"/>
      <c r="AL321" s="16"/>
      <c r="AN321" s="16"/>
      <c r="AP321" s="16"/>
      <c r="AR321" s="16"/>
      <c r="AT321" s="16"/>
      <c r="AV321" s="16"/>
    </row>
    <row r="322" spans="3:48" ht="12.75">
      <c r="C322" s="16"/>
      <c r="E322" s="16"/>
      <c r="G322" s="16"/>
      <c r="I322" s="16"/>
      <c r="K322" s="16"/>
      <c r="M322" s="16"/>
      <c r="O322" s="16"/>
      <c r="Q322" s="16"/>
      <c r="R322" s="16"/>
      <c r="T322" s="16"/>
      <c r="V322" s="16"/>
      <c r="X322" s="16"/>
      <c r="Z322" s="16"/>
      <c r="AB322" s="16"/>
      <c r="AD322" s="16"/>
      <c r="AF322" s="16"/>
      <c r="AH322" s="16"/>
      <c r="AJ322" s="16"/>
      <c r="AL322" s="16"/>
      <c r="AN322" s="16"/>
      <c r="AP322" s="16"/>
      <c r="AR322" s="16"/>
      <c r="AT322" s="16"/>
      <c r="AV322" s="16"/>
    </row>
    <row r="323" spans="3:48" ht="12.75">
      <c r="C323" s="16"/>
      <c r="E323" s="16"/>
      <c r="G323" s="16"/>
      <c r="I323" s="16"/>
      <c r="K323" s="16"/>
      <c r="M323" s="16"/>
      <c r="O323" s="16"/>
      <c r="Q323" s="16"/>
      <c r="R323" s="16"/>
      <c r="T323" s="16"/>
      <c r="V323" s="16"/>
      <c r="X323" s="16"/>
      <c r="Z323" s="16"/>
      <c r="AB323" s="16"/>
      <c r="AD323" s="16"/>
      <c r="AF323" s="16"/>
      <c r="AH323" s="16"/>
      <c r="AJ323" s="16"/>
      <c r="AL323" s="16"/>
      <c r="AN323" s="16"/>
      <c r="AP323" s="16"/>
      <c r="AR323" s="16"/>
      <c r="AT323" s="16"/>
      <c r="AV323" s="16"/>
    </row>
    <row r="324" spans="3:48" ht="12.75">
      <c r="C324" s="16"/>
      <c r="E324" s="16"/>
      <c r="G324" s="16"/>
      <c r="I324" s="16"/>
      <c r="K324" s="16"/>
      <c r="M324" s="16"/>
      <c r="O324" s="16"/>
      <c r="Q324" s="16"/>
      <c r="R324" s="16"/>
      <c r="T324" s="16"/>
      <c r="V324" s="16"/>
      <c r="X324" s="16"/>
      <c r="Z324" s="16"/>
      <c r="AB324" s="16"/>
      <c r="AD324" s="16"/>
      <c r="AF324" s="16"/>
      <c r="AH324" s="16"/>
      <c r="AJ324" s="16"/>
      <c r="AL324" s="16"/>
      <c r="AN324" s="16"/>
      <c r="AP324" s="16"/>
      <c r="AR324" s="16"/>
      <c r="AT324" s="16"/>
      <c r="AV324" s="16"/>
    </row>
    <row r="325" spans="3:48" ht="12.75">
      <c r="C325" s="16"/>
      <c r="E325" s="16"/>
      <c r="G325" s="16"/>
      <c r="I325" s="16"/>
      <c r="K325" s="16"/>
      <c r="M325" s="16"/>
      <c r="O325" s="16"/>
      <c r="Q325" s="16"/>
      <c r="R325" s="16"/>
      <c r="T325" s="16"/>
      <c r="V325" s="16"/>
      <c r="X325" s="16"/>
      <c r="Z325" s="16"/>
      <c r="AB325" s="16"/>
      <c r="AD325" s="16"/>
      <c r="AF325" s="16"/>
      <c r="AH325" s="16"/>
      <c r="AJ325" s="16"/>
      <c r="AL325" s="16"/>
      <c r="AN325" s="16"/>
      <c r="AP325" s="16"/>
      <c r="AR325" s="16"/>
      <c r="AT325" s="16"/>
      <c r="AV325" s="16"/>
    </row>
    <row r="326" spans="3:48" ht="12.75">
      <c r="C326" s="16"/>
      <c r="E326" s="16"/>
      <c r="G326" s="16"/>
      <c r="I326" s="16"/>
      <c r="K326" s="16"/>
      <c r="M326" s="16"/>
      <c r="O326" s="16"/>
      <c r="Q326" s="16"/>
      <c r="R326" s="16"/>
      <c r="T326" s="16"/>
      <c r="V326" s="16"/>
      <c r="X326" s="16"/>
      <c r="Z326" s="16"/>
      <c r="AB326" s="16"/>
      <c r="AD326" s="16"/>
      <c r="AF326" s="16"/>
      <c r="AH326" s="16"/>
      <c r="AJ326" s="16"/>
      <c r="AL326" s="16"/>
      <c r="AN326" s="16"/>
      <c r="AP326" s="16"/>
      <c r="AR326" s="16"/>
      <c r="AT326" s="16"/>
      <c r="AV326" s="16"/>
    </row>
    <row r="327" spans="3:48" ht="12.75">
      <c r="C327" s="16"/>
      <c r="E327" s="16"/>
      <c r="G327" s="16"/>
      <c r="I327" s="16"/>
      <c r="K327" s="16"/>
      <c r="M327" s="16"/>
      <c r="O327" s="16"/>
      <c r="Q327" s="16"/>
      <c r="R327" s="16"/>
      <c r="T327" s="16"/>
      <c r="V327" s="16"/>
      <c r="X327" s="16"/>
      <c r="Z327" s="16"/>
      <c r="AB327" s="16"/>
      <c r="AD327" s="16"/>
      <c r="AF327" s="16"/>
      <c r="AH327" s="16"/>
      <c r="AJ327" s="16"/>
      <c r="AL327" s="16"/>
      <c r="AN327" s="16"/>
      <c r="AP327" s="16"/>
      <c r="AR327" s="16"/>
      <c r="AT327" s="16"/>
      <c r="AV327" s="16"/>
    </row>
    <row r="328" spans="3:48" ht="12.75">
      <c r="C328" s="16"/>
      <c r="E328" s="16"/>
      <c r="G328" s="16"/>
      <c r="I328" s="16"/>
      <c r="K328" s="16"/>
      <c r="M328" s="16"/>
      <c r="O328" s="16"/>
      <c r="Q328" s="16"/>
      <c r="R328" s="16"/>
      <c r="T328" s="16"/>
      <c r="V328" s="16"/>
      <c r="X328" s="16"/>
      <c r="Z328" s="16"/>
      <c r="AB328" s="16"/>
      <c r="AD328" s="16"/>
      <c r="AF328" s="16"/>
      <c r="AH328" s="16"/>
      <c r="AJ328" s="16"/>
      <c r="AL328" s="16"/>
      <c r="AN328" s="16"/>
      <c r="AP328" s="16"/>
      <c r="AR328" s="16"/>
      <c r="AT328" s="16"/>
      <c r="AV328" s="16"/>
    </row>
    <row r="329" spans="3:48" ht="12.75">
      <c r="C329" s="16"/>
      <c r="E329" s="16"/>
      <c r="G329" s="16"/>
      <c r="I329" s="16"/>
      <c r="K329" s="16"/>
      <c r="M329" s="16"/>
      <c r="O329" s="16"/>
      <c r="Q329" s="16"/>
      <c r="R329" s="16"/>
      <c r="T329" s="16"/>
      <c r="V329" s="16"/>
      <c r="X329" s="16"/>
      <c r="Z329" s="16"/>
      <c r="AB329" s="16"/>
      <c r="AD329" s="16"/>
      <c r="AF329" s="16"/>
      <c r="AH329" s="16"/>
      <c r="AJ329" s="16"/>
      <c r="AL329" s="16"/>
      <c r="AN329" s="16"/>
      <c r="AP329" s="16"/>
      <c r="AR329" s="16"/>
      <c r="AT329" s="16"/>
      <c r="AV329" s="16"/>
    </row>
    <row r="330" spans="3:48" ht="12.75">
      <c r="C330" s="16"/>
      <c r="E330" s="16"/>
      <c r="G330" s="16"/>
      <c r="I330" s="16"/>
      <c r="K330" s="16"/>
      <c r="M330" s="16"/>
      <c r="O330" s="16"/>
      <c r="Q330" s="16"/>
      <c r="R330" s="16"/>
      <c r="T330" s="16"/>
      <c r="V330" s="16"/>
      <c r="X330" s="16"/>
      <c r="Z330" s="16"/>
      <c r="AB330" s="16"/>
      <c r="AD330" s="16"/>
      <c r="AF330" s="16"/>
      <c r="AH330" s="16"/>
      <c r="AJ330" s="16"/>
      <c r="AL330" s="16"/>
      <c r="AN330" s="16"/>
      <c r="AP330" s="16"/>
      <c r="AR330" s="16"/>
      <c r="AT330" s="16"/>
      <c r="AV330" s="16"/>
    </row>
    <row r="331" spans="3:48" ht="12.75">
      <c r="C331" s="16"/>
      <c r="E331" s="16"/>
      <c r="G331" s="16"/>
      <c r="I331" s="16"/>
      <c r="K331" s="16"/>
      <c r="M331" s="16"/>
      <c r="O331" s="16"/>
      <c r="Q331" s="16"/>
      <c r="R331" s="16"/>
      <c r="T331" s="16"/>
      <c r="V331" s="16"/>
      <c r="X331" s="16"/>
      <c r="Z331" s="16"/>
      <c r="AB331" s="16"/>
      <c r="AD331" s="16"/>
      <c r="AF331" s="16"/>
      <c r="AH331" s="16"/>
      <c r="AJ331" s="16"/>
      <c r="AL331" s="16"/>
      <c r="AN331" s="16"/>
      <c r="AP331" s="16"/>
      <c r="AR331" s="16"/>
      <c r="AT331" s="16"/>
      <c r="AV331" s="16"/>
    </row>
    <row r="332" spans="3:48" ht="12.75">
      <c r="C332" s="16"/>
      <c r="E332" s="16"/>
      <c r="G332" s="16"/>
      <c r="I332" s="16"/>
      <c r="K332" s="16"/>
      <c r="M332" s="16"/>
      <c r="O332" s="16"/>
      <c r="Q332" s="16"/>
      <c r="R332" s="16"/>
      <c r="T332" s="16"/>
      <c r="V332" s="16"/>
      <c r="X332" s="16"/>
      <c r="Z332" s="16"/>
      <c r="AB332" s="16"/>
      <c r="AD332" s="16"/>
      <c r="AF332" s="16"/>
      <c r="AH332" s="16"/>
      <c r="AJ332" s="16"/>
      <c r="AL332" s="16"/>
      <c r="AN332" s="16"/>
      <c r="AP332" s="16"/>
      <c r="AR332" s="16"/>
      <c r="AT332" s="16"/>
      <c r="AV332" s="16"/>
    </row>
    <row r="333" spans="3:48" ht="12.75">
      <c r="C333" s="16"/>
      <c r="E333" s="16"/>
      <c r="G333" s="16"/>
      <c r="I333" s="16"/>
      <c r="K333" s="16"/>
      <c r="M333" s="16"/>
      <c r="O333" s="16"/>
      <c r="Q333" s="16"/>
      <c r="R333" s="16"/>
      <c r="T333" s="16"/>
      <c r="V333" s="16"/>
      <c r="X333" s="16"/>
      <c r="Z333" s="16"/>
      <c r="AB333" s="16"/>
      <c r="AD333" s="16"/>
      <c r="AF333" s="16"/>
      <c r="AH333" s="16"/>
      <c r="AJ333" s="16"/>
      <c r="AL333" s="16"/>
      <c r="AN333" s="16"/>
      <c r="AP333" s="16"/>
      <c r="AR333" s="16"/>
      <c r="AT333" s="16"/>
      <c r="AV333" s="16"/>
    </row>
    <row r="334" spans="3:48" ht="12.75">
      <c r="C334" s="16"/>
      <c r="E334" s="16"/>
      <c r="G334" s="16"/>
      <c r="I334" s="16"/>
      <c r="K334" s="16"/>
      <c r="M334" s="16"/>
      <c r="O334" s="16"/>
      <c r="Q334" s="16"/>
      <c r="R334" s="16"/>
      <c r="T334" s="16"/>
      <c r="V334" s="16"/>
      <c r="X334" s="16"/>
      <c r="Z334" s="16"/>
      <c r="AB334" s="16"/>
      <c r="AD334" s="16"/>
      <c r="AF334" s="16"/>
      <c r="AH334" s="16"/>
      <c r="AJ334" s="16"/>
      <c r="AL334" s="16"/>
      <c r="AN334" s="16"/>
      <c r="AP334" s="16"/>
      <c r="AR334" s="16"/>
      <c r="AT334" s="16"/>
      <c r="AV334" s="16"/>
    </row>
    <row r="335" spans="3:48" ht="12.75">
      <c r="C335" s="16"/>
      <c r="E335" s="16"/>
      <c r="G335" s="16"/>
      <c r="I335" s="16"/>
      <c r="K335" s="16"/>
      <c r="M335" s="16"/>
      <c r="O335" s="16"/>
      <c r="Q335" s="16"/>
      <c r="R335" s="16"/>
      <c r="T335" s="16"/>
      <c r="V335" s="16"/>
      <c r="X335" s="16"/>
      <c r="Z335" s="16"/>
      <c r="AB335" s="16"/>
      <c r="AD335" s="16"/>
      <c r="AF335" s="16"/>
      <c r="AH335" s="16"/>
      <c r="AJ335" s="16"/>
      <c r="AL335" s="16"/>
      <c r="AN335" s="16"/>
      <c r="AP335" s="16"/>
      <c r="AR335" s="16"/>
      <c r="AT335" s="16"/>
      <c r="AV335" s="16"/>
    </row>
    <row r="336" spans="3:48" ht="12.75">
      <c r="C336" s="16"/>
      <c r="E336" s="16"/>
      <c r="G336" s="16"/>
      <c r="I336" s="16"/>
      <c r="K336" s="16"/>
      <c r="M336" s="16"/>
      <c r="O336" s="16"/>
      <c r="Q336" s="16"/>
      <c r="R336" s="16"/>
      <c r="T336" s="16"/>
      <c r="V336" s="16"/>
      <c r="X336" s="16"/>
      <c r="Z336" s="16"/>
      <c r="AB336" s="16"/>
      <c r="AD336" s="16"/>
      <c r="AF336" s="16"/>
      <c r="AH336" s="16"/>
      <c r="AJ336" s="16"/>
      <c r="AL336" s="16"/>
      <c r="AN336" s="16"/>
      <c r="AP336" s="16"/>
      <c r="AR336" s="16"/>
      <c r="AT336" s="16"/>
      <c r="AV336" s="16"/>
    </row>
    <row r="337" spans="3:48" ht="12.75">
      <c r="C337" s="16"/>
      <c r="E337" s="16"/>
      <c r="G337" s="16"/>
      <c r="I337" s="16"/>
      <c r="K337" s="16"/>
      <c r="M337" s="16"/>
      <c r="O337" s="16"/>
      <c r="Q337" s="16"/>
      <c r="R337" s="16"/>
      <c r="T337" s="16"/>
      <c r="V337" s="16"/>
      <c r="X337" s="16"/>
      <c r="Z337" s="16"/>
      <c r="AB337" s="16"/>
      <c r="AD337" s="16"/>
      <c r="AF337" s="16"/>
      <c r="AH337" s="16"/>
      <c r="AJ337" s="16"/>
      <c r="AL337" s="16"/>
      <c r="AN337" s="16"/>
      <c r="AP337" s="16"/>
      <c r="AR337" s="16"/>
      <c r="AT337" s="16"/>
      <c r="AV337" s="16"/>
    </row>
    <row r="338" spans="3:48" ht="12.75">
      <c r="C338" s="16"/>
      <c r="E338" s="16"/>
      <c r="G338" s="16"/>
      <c r="I338" s="16"/>
      <c r="K338" s="16"/>
      <c r="M338" s="16"/>
      <c r="O338" s="16"/>
      <c r="Q338" s="16"/>
      <c r="R338" s="16"/>
      <c r="T338" s="16"/>
      <c r="V338" s="16"/>
      <c r="X338" s="16"/>
      <c r="Z338" s="16"/>
      <c r="AB338" s="16"/>
      <c r="AD338" s="16"/>
      <c r="AF338" s="16"/>
      <c r="AH338" s="16"/>
      <c r="AJ338" s="16"/>
      <c r="AL338" s="16"/>
      <c r="AN338" s="16"/>
      <c r="AP338" s="16"/>
      <c r="AR338" s="16"/>
      <c r="AT338" s="16"/>
      <c r="AV338" s="16"/>
    </row>
    <row r="339" spans="3:48" ht="12.75">
      <c r="C339" s="16"/>
      <c r="E339" s="16"/>
      <c r="G339" s="16"/>
      <c r="I339" s="16"/>
      <c r="K339" s="16"/>
      <c r="M339" s="16"/>
      <c r="O339" s="16"/>
      <c r="Q339" s="16"/>
      <c r="R339" s="16"/>
      <c r="T339" s="16"/>
      <c r="V339" s="16"/>
      <c r="X339" s="16"/>
      <c r="Z339" s="16"/>
      <c r="AB339" s="16"/>
      <c r="AD339" s="16"/>
      <c r="AF339" s="16"/>
      <c r="AH339" s="16"/>
      <c r="AJ339" s="16"/>
      <c r="AL339" s="16"/>
      <c r="AN339" s="16"/>
      <c r="AP339" s="16"/>
      <c r="AR339" s="16"/>
      <c r="AT339" s="16"/>
      <c r="AV339" s="16"/>
    </row>
    <row r="340" spans="3:48" ht="12.75">
      <c r="C340" s="16"/>
      <c r="E340" s="16"/>
      <c r="G340" s="16"/>
      <c r="I340" s="16"/>
      <c r="K340" s="16"/>
      <c r="M340" s="16"/>
      <c r="O340" s="16"/>
      <c r="Q340" s="16"/>
      <c r="R340" s="16"/>
      <c r="T340" s="16"/>
      <c r="V340" s="16"/>
      <c r="X340" s="16"/>
      <c r="Z340" s="16"/>
      <c r="AB340" s="16"/>
      <c r="AD340" s="16"/>
      <c r="AF340" s="16"/>
      <c r="AH340" s="16"/>
      <c r="AJ340" s="16"/>
      <c r="AL340" s="16"/>
      <c r="AN340" s="16"/>
      <c r="AP340" s="16"/>
      <c r="AR340" s="16"/>
      <c r="AT340" s="16"/>
      <c r="AV340" s="16"/>
    </row>
    <row r="341" spans="3:48" ht="12.75">
      <c r="C341" s="16"/>
      <c r="E341" s="16"/>
      <c r="G341" s="16"/>
      <c r="I341" s="16"/>
      <c r="K341" s="16"/>
      <c r="M341" s="16"/>
      <c r="O341" s="16"/>
      <c r="Q341" s="16"/>
      <c r="R341" s="16"/>
      <c r="T341" s="16"/>
      <c r="V341" s="16"/>
      <c r="X341" s="16"/>
      <c r="Z341" s="16"/>
      <c r="AB341" s="16"/>
      <c r="AD341" s="16"/>
      <c r="AF341" s="16"/>
      <c r="AH341" s="16"/>
      <c r="AJ341" s="16"/>
      <c r="AL341" s="16"/>
      <c r="AN341" s="16"/>
      <c r="AP341" s="16"/>
      <c r="AR341" s="16"/>
      <c r="AT341" s="16"/>
      <c r="AV341" s="16"/>
    </row>
    <row r="342" spans="3:48" ht="12.75">
      <c r="C342" s="16"/>
      <c r="E342" s="16"/>
      <c r="G342" s="16"/>
      <c r="I342" s="16"/>
      <c r="K342" s="16"/>
      <c r="M342" s="16"/>
      <c r="O342" s="16"/>
      <c r="Q342" s="16"/>
      <c r="R342" s="16"/>
      <c r="T342" s="16"/>
      <c r="V342" s="16"/>
      <c r="X342" s="16"/>
      <c r="Z342" s="16"/>
      <c r="AB342" s="16"/>
      <c r="AD342" s="16"/>
      <c r="AF342" s="16"/>
      <c r="AH342" s="16"/>
      <c r="AJ342" s="16"/>
      <c r="AL342" s="16"/>
      <c r="AN342" s="16"/>
      <c r="AP342" s="16"/>
      <c r="AR342" s="16"/>
      <c r="AT342" s="16"/>
      <c r="AV342" s="16"/>
    </row>
    <row r="343" spans="3:48" ht="12.75">
      <c r="C343" s="16"/>
      <c r="E343" s="16"/>
      <c r="G343" s="16"/>
      <c r="I343" s="16"/>
      <c r="K343" s="16"/>
      <c r="M343" s="16"/>
      <c r="O343" s="16"/>
      <c r="Q343" s="16"/>
      <c r="R343" s="16"/>
      <c r="T343" s="16"/>
      <c r="V343" s="16"/>
      <c r="X343" s="16"/>
      <c r="Z343" s="16"/>
      <c r="AB343" s="16"/>
      <c r="AD343" s="16"/>
      <c r="AF343" s="16"/>
      <c r="AH343" s="16"/>
      <c r="AJ343" s="16"/>
      <c r="AL343" s="16"/>
      <c r="AN343" s="16"/>
      <c r="AP343" s="16"/>
      <c r="AR343" s="16"/>
      <c r="AT343" s="16"/>
      <c r="AV343" s="16"/>
    </row>
    <row r="344" spans="3:48" ht="12.75">
      <c r="C344" s="16"/>
      <c r="E344" s="16"/>
      <c r="G344" s="16"/>
      <c r="I344" s="16"/>
      <c r="K344" s="16"/>
      <c r="M344" s="16"/>
      <c r="O344" s="16"/>
      <c r="Q344" s="16"/>
      <c r="R344" s="16"/>
      <c r="T344" s="16"/>
      <c r="V344" s="16"/>
      <c r="X344" s="16"/>
      <c r="Z344" s="16"/>
      <c r="AB344" s="16"/>
      <c r="AD344" s="16"/>
      <c r="AF344" s="16"/>
      <c r="AH344" s="16"/>
      <c r="AJ344" s="16"/>
      <c r="AL344" s="16"/>
      <c r="AN344" s="16"/>
      <c r="AP344" s="16"/>
      <c r="AR344" s="16"/>
      <c r="AT344" s="16"/>
      <c r="AV344" s="16"/>
    </row>
    <row r="345" spans="3:48" ht="12.75">
      <c r="C345" s="16"/>
      <c r="E345" s="16"/>
      <c r="G345" s="16"/>
      <c r="I345" s="16"/>
      <c r="K345" s="16"/>
      <c r="M345" s="16"/>
      <c r="O345" s="16"/>
      <c r="Q345" s="16"/>
      <c r="R345" s="16"/>
      <c r="T345" s="16"/>
      <c r="V345" s="16"/>
      <c r="X345" s="16"/>
      <c r="Z345" s="16"/>
      <c r="AB345" s="16"/>
      <c r="AD345" s="16"/>
      <c r="AF345" s="16"/>
      <c r="AH345" s="16"/>
      <c r="AJ345" s="16"/>
      <c r="AL345" s="16"/>
      <c r="AN345" s="16"/>
      <c r="AP345" s="16"/>
      <c r="AR345" s="16"/>
      <c r="AT345" s="16"/>
      <c r="AV345" s="16"/>
    </row>
    <row r="346" spans="3:48" ht="12.75">
      <c r="C346" s="16"/>
      <c r="E346" s="16"/>
      <c r="G346" s="16"/>
      <c r="I346" s="16"/>
      <c r="K346" s="16"/>
      <c r="M346" s="16"/>
      <c r="O346" s="16"/>
      <c r="Q346" s="16"/>
      <c r="R346" s="16"/>
      <c r="T346" s="16"/>
      <c r="V346" s="16"/>
      <c r="X346" s="16"/>
      <c r="Z346" s="16"/>
      <c r="AB346" s="16"/>
      <c r="AD346" s="16"/>
      <c r="AF346" s="16"/>
      <c r="AH346" s="16"/>
      <c r="AJ346" s="16"/>
      <c r="AL346" s="16"/>
      <c r="AN346" s="16"/>
      <c r="AP346" s="16"/>
      <c r="AR346" s="16"/>
      <c r="AT346" s="16"/>
      <c r="AV346" s="16"/>
    </row>
    <row r="347" spans="3:48" ht="12.75">
      <c r="C347" s="16"/>
      <c r="E347" s="16"/>
      <c r="G347" s="16"/>
      <c r="I347" s="16"/>
      <c r="K347" s="16"/>
      <c r="M347" s="16"/>
      <c r="O347" s="16"/>
      <c r="Q347" s="16"/>
      <c r="R347" s="16"/>
      <c r="T347" s="16"/>
      <c r="V347" s="16"/>
      <c r="X347" s="16"/>
      <c r="Z347" s="16"/>
      <c r="AB347" s="16"/>
      <c r="AD347" s="16"/>
      <c r="AF347" s="16"/>
      <c r="AH347" s="16"/>
      <c r="AJ347" s="16"/>
      <c r="AL347" s="16"/>
      <c r="AN347" s="16"/>
      <c r="AP347" s="16"/>
      <c r="AR347" s="16"/>
      <c r="AT347" s="16"/>
      <c r="AV347" s="16"/>
    </row>
    <row r="348" spans="3:48" ht="12.75">
      <c r="C348" s="16"/>
      <c r="E348" s="16"/>
      <c r="G348" s="16"/>
      <c r="I348" s="16"/>
      <c r="K348" s="16"/>
      <c r="M348" s="16"/>
      <c r="O348" s="16"/>
      <c r="Q348" s="16"/>
      <c r="R348" s="16"/>
      <c r="T348" s="16"/>
      <c r="V348" s="16"/>
      <c r="X348" s="16"/>
      <c r="Z348" s="16"/>
      <c r="AB348" s="16"/>
      <c r="AD348" s="16"/>
      <c r="AF348" s="16"/>
      <c r="AH348" s="16"/>
      <c r="AJ348" s="16"/>
      <c r="AL348" s="16"/>
      <c r="AN348" s="16"/>
      <c r="AP348" s="16"/>
      <c r="AR348" s="16"/>
      <c r="AT348" s="16"/>
      <c r="AV348" s="16"/>
    </row>
    <row r="349" spans="3:48" ht="12.75">
      <c r="C349" s="16"/>
      <c r="E349" s="16"/>
      <c r="G349" s="16"/>
      <c r="I349" s="16"/>
      <c r="K349" s="16"/>
      <c r="M349" s="16"/>
      <c r="O349" s="16"/>
      <c r="Q349" s="16"/>
      <c r="R349" s="16"/>
      <c r="T349" s="16"/>
      <c r="V349" s="16"/>
      <c r="X349" s="16"/>
      <c r="Z349" s="16"/>
      <c r="AB349" s="16"/>
      <c r="AD349" s="16"/>
      <c r="AF349" s="16"/>
      <c r="AH349" s="16"/>
      <c r="AJ349" s="16"/>
      <c r="AL349" s="16"/>
      <c r="AN349" s="16"/>
      <c r="AP349" s="16"/>
      <c r="AR349" s="16"/>
      <c r="AT349" s="16"/>
      <c r="AV349" s="16"/>
    </row>
    <row r="350" spans="3:48" ht="12.75">
      <c r="C350" s="16"/>
      <c r="E350" s="16"/>
      <c r="G350" s="16"/>
      <c r="I350" s="16"/>
      <c r="K350" s="16"/>
      <c r="M350" s="16"/>
      <c r="O350" s="16"/>
      <c r="Q350" s="16"/>
      <c r="R350" s="16"/>
      <c r="T350" s="16"/>
      <c r="V350" s="16"/>
      <c r="X350" s="16"/>
      <c r="Z350" s="16"/>
      <c r="AB350" s="16"/>
      <c r="AD350" s="16"/>
      <c r="AF350" s="16"/>
      <c r="AH350" s="16"/>
      <c r="AJ350" s="16"/>
      <c r="AL350" s="16"/>
      <c r="AN350" s="16"/>
      <c r="AP350" s="16"/>
      <c r="AR350" s="16"/>
      <c r="AT350" s="16"/>
      <c r="AV350" s="16"/>
    </row>
    <row r="351" spans="3:48" ht="12.75">
      <c r="C351" s="16"/>
      <c r="E351" s="16"/>
      <c r="G351" s="16"/>
      <c r="I351" s="16"/>
      <c r="K351" s="16"/>
      <c r="M351" s="16"/>
      <c r="O351" s="16"/>
      <c r="Q351" s="16"/>
      <c r="R351" s="16"/>
      <c r="T351" s="16"/>
      <c r="V351" s="16"/>
      <c r="X351" s="16"/>
      <c r="Z351" s="16"/>
      <c r="AB351" s="16"/>
      <c r="AD351" s="16"/>
      <c r="AF351" s="16"/>
      <c r="AH351" s="16"/>
      <c r="AJ351" s="16"/>
      <c r="AL351" s="16"/>
      <c r="AN351" s="16"/>
      <c r="AP351" s="16"/>
      <c r="AR351" s="16"/>
      <c r="AT351" s="16"/>
      <c r="AV351" s="16"/>
    </row>
    <row r="352" spans="3:48" ht="12.75">
      <c r="C352" s="16"/>
      <c r="E352" s="16"/>
      <c r="G352" s="16"/>
      <c r="I352" s="16"/>
      <c r="K352" s="16"/>
      <c r="M352" s="16"/>
      <c r="O352" s="16"/>
      <c r="Q352" s="16"/>
      <c r="R352" s="16"/>
      <c r="T352" s="16"/>
      <c r="V352" s="16"/>
      <c r="X352" s="16"/>
      <c r="Z352" s="16"/>
      <c r="AB352" s="16"/>
      <c r="AD352" s="16"/>
      <c r="AF352" s="16"/>
      <c r="AH352" s="16"/>
      <c r="AJ352" s="16"/>
      <c r="AL352" s="16"/>
      <c r="AN352" s="16"/>
      <c r="AP352" s="16"/>
      <c r="AR352" s="16"/>
      <c r="AT352" s="16"/>
      <c r="AV352" s="16"/>
    </row>
    <row r="353" spans="3:48" ht="12.75">
      <c r="C353" s="16"/>
      <c r="E353" s="16"/>
      <c r="G353" s="16"/>
      <c r="I353" s="16"/>
      <c r="K353" s="16"/>
      <c r="M353" s="16"/>
      <c r="O353" s="16"/>
      <c r="Q353" s="16"/>
      <c r="R353" s="16"/>
      <c r="T353" s="16"/>
      <c r="V353" s="16"/>
      <c r="X353" s="16"/>
      <c r="Z353" s="16"/>
      <c r="AB353" s="16"/>
      <c r="AD353" s="16"/>
      <c r="AF353" s="16"/>
      <c r="AH353" s="16"/>
      <c r="AJ353" s="16"/>
      <c r="AL353" s="16"/>
      <c r="AN353" s="16"/>
      <c r="AP353" s="16"/>
      <c r="AR353" s="16"/>
      <c r="AT353" s="16"/>
      <c r="AV353" s="16"/>
    </row>
    <row r="354" spans="3:48" ht="12.75">
      <c r="C354" s="16"/>
      <c r="E354" s="16"/>
      <c r="G354" s="16"/>
      <c r="I354" s="16"/>
      <c r="K354" s="16"/>
      <c r="M354" s="16"/>
      <c r="O354" s="16"/>
      <c r="Q354" s="16"/>
      <c r="R354" s="16"/>
      <c r="T354" s="16"/>
      <c r="V354" s="16"/>
      <c r="X354" s="16"/>
      <c r="Z354" s="16"/>
      <c r="AB354" s="16"/>
      <c r="AD354" s="16"/>
      <c r="AF354" s="16"/>
      <c r="AH354" s="16"/>
      <c r="AJ354" s="16"/>
      <c r="AL354" s="16"/>
      <c r="AN354" s="16"/>
      <c r="AP354" s="16"/>
      <c r="AR354" s="16"/>
      <c r="AT354" s="16"/>
      <c r="AV354" s="16"/>
    </row>
    <row r="355" spans="3:48" ht="12.75">
      <c r="C355" s="16"/>
      <c r="E355" s="16"/>
      <c r="G355" s="16"/>
      <c r="I355" s="16"/>
      <c r="K355" s="16"/>
      <c r="M355" s="16"/>
      <c r="O355" s="16"/>
      <c r="Q355" s="16"/>
      <c r="R355" s="16"/>
      <c r="T355" s="16"/>
      <c r="V355" s="16"/>
      <c r="X355" s="16"/>
      <c r="Z355" s="16"/>
      <c r="AB355" s="16"/>
      <c r="AD355" s="16"/>
      <c r="AF355" s="16"/>
      <c r="AH355" s="16"/>
      <c r="AJ355" s="16"/>
      <c r="AL355" s="16"/>
      <c r="AN355" s="16"/>
      <c r="AP355" s="16"/>
      <c r="AR355" s="16"/>
      <c r="AT355" s="16"/>
      <c r="AV355" s="16"/>
    </row>
    <row r="356" spans="3:48" ht="12.75">
      <c r="C356" s="16"/>
      <c r="E356" s="16"/>
      <c r="G356" s="16"/>
      <c r="I356" s="16"/>
      <c r="K356" s="16"/>
      <c r="M356" s="16"/>
      <c r="O356" s="16"/>
      <c r="Q356" s="16"/>
      <c r="R356" s="16"/>
      <c r="T356" s="16"/>
      <c r="V356" s="16"/>
      <c r="X356" s="16"/>
      <c r="Z356" s="16"/>
      <c r="AB356" s="16"/>
      <c r="AD356" s="16"/>
      <c r="AF356" s="16"/>
      <c r="AH356" s="16"/>
      <c r="AJ356" s="16"/>
      <c r="AL356" s="16"/>
      <c r="AN356" s="16"/>
      <c r="AP356" s="16"/>
      <c r="AR356" s="16"/>
      <c r="AT356" s="16"/>
      <c r="AV356" s="16"/>
    </row>
    <row r="357" spans="3:48" ht="12.75">
      <c r="C357" s="16"/>
      <c r="E357" s="16"/>
      <c r="G357" s="16"/>
      <c r="I357" s="16"/>
      <c r="K357" s="16"/>
      <c r="M357" s="16"/>
      <c r="O357" s="16"/>
      <c r="Q357" s="16"/>
      <c r="R357" s="16"/>
      <c r="T357" s="16"/>
      <c r="V357" s="16"/>
      <c r="X357" s="16"/>
      <c r="Z357" s="16"/>
      <c r="AB357" s="16"/>
      <c r="AD357" s="16"/>
      <c r="AF357" s="16"/>
      <c r="AH357" s="16"/>
      <c r="AJ357" s="16"/>
      <c r="AL357" s="16"/>
      <c r="AN357" s="16"/>
      <c r="AP357" s="16"/>
      <c r="AR357" s="16"/>
      <c r="AT357" s="16"/>
      <c r="AV357" s="16"/>
    </row>
    <row r="358" spans="3:48" ht="12.75">
      <c r="C358" s="16"/>
      <c r="E358" s="16"/>
      <c r="G358" s="16"/>
      <c r="I358" s="16"/>
      <c r="K358" s="16"/>
      <c r="M358" s="16"/>
      <c r="O358" s="16"/>
      <c r="Q358" s="16"/>
      <c r="R358" s="16"/>
      <c r="T358" s="16"/>
      <c r="V358" s="16"/>
      <c r="X358" s="16"/>
      <c r="Z358" s="16"/>
      <c r="AB358" s="16"/>
      <c r="AD358" s="16"/>
      <c r="AF358" s="16"/>
      <c r="AH358" s="16"/>
      <c r="AJ358" s="16"/>
      <c r="AL358" s="16"/>
      <c r="AN358" s="16"/>
      <c r="AP358" s="16"/>
      <c r="AR358" s="16"/>
      <c r="AT358" s="16"/>
      <c r="AV358" s="16"/>
    </row>
    <row r="359" spans="3:48" ht="12.75">
      <c r="C359" s="16"/>
      <c r="E359" s="16"/>
      <c r="G359" s="16"/>
      <c r="I359" s="16"/>
      <c r="K359" s="16"/>
      <c r="M359" s="16"/>
      <c r="O359" s="16"/>
      <c r="Q359" s="16"/>
      <c r="R359" s="16"/>
      <c r="T359" s="16"/>
      <c r="V359" s="16"/>
      <c r="X359" s="16"/>
      <c r="Z359" s="16"/>
      <c r="AB359" s="16"/>
      <c r="AD359" s="16"/>
      <c r="AF359" s="16"/>
      <c r="AH359" s="16"/>
      <c r="AJ359" s="16"/>
      <c r="AL359" s="16"/>
      <c r="AN359" s="16"/>
      <c r="AP359" s="16"/>
      <c r="AR359" s="16"/>
      <c r="AT359" s="16"/>
      <c r="AV359" s="16"/>
    </row>
    <row r="360" spans="3:48" ht="12.75">
      <c r="C360" s="16"/>
      <c r="E360" s="16"/>
      <c r="G360" s="16"/>
      <c r="I360" s="16"/>
      <c r="K360" s="16"/>
      <c r="M360" s="16"/>
      <c r="O360" s="16"/>
      <c r="Q360" s="16"/>
      <c r="R360" s="16"/>
      <c r="T360" s="16"/>
      <c r="V360" s="16"/>
      <c r="X360" s="16"/>
      <c r="Z360" s="16"/>
      <c r="AB360" s="16"/>
      <c r="AD360" s="16"/>
      <c r="AF360" s="16"/>
      <c r="AH360" s="16"/>
      <c r="AJ360" s="16"/>
      <c r="AL360" s="16"/>
      <c r="AN360" s="16"/>
      <c r="AP360" s="16"/>
      <c r="AR360" s="16"/>
      <c r="AT360" s="16"/>
      <c r="AV360" s="16"/>
    </row>
    <row r="361" spans="3:48" ht="12.75">
      <c r="C361" s="16"/>
      <c r="E361" s="16"/>
      <c r="G361" s="16"/>
      <c r="I361" s="16"/>
      <c r="K361" s="16"/>
      <c r="M361" s="16"/>
      <c r="O361" s="16"/>
      <c r="Q361" s="16"/>
      <c r="R361" s="16"/>
      <c r="T361" s="16"/>
      <c r="V361" s="16"/>
      <c r="X361" s="16"/>
      <c r="Z361" s="16"/>
      <c r="AB361" s="16"/>
      <c r="AD361" s="16"/>
      <c r="AF361" s="16"/>
      <c r="AH361" s="16"/>
      <c r="AJ361" s="16"/>
      <c r="AL361" s="16"/>
      <c r="AN361" s="16"/>
      <c r="AP361" s="16"/>
      <c r="AR361" s="16"/>
      <c r="AT361" s="16"/>
      <c r="AV361" s="16"/>
    </row>
    <row r="362" spans="3:48" ht="12.75">
      <c r="C362" s="16"/>
      <c r="E362" s="16"/>
      <c r="G362" s="16"/>
      <c r="I362" s="16"/>
      <c r="K362" s="16"/>
      <c r="M362" s="16"/>
      <c r="O362" s="16"/>
      <c r="Q362" s="16"/>
      <c r="R362" s="16"/>
      <c r="T362" s="16"/>
      <c r="V362" s="16"/>
      <c r="X362" s="16"/>
      <c r="Z362" s="16"/>
      <c r="AB362" s="16"/>
      <c r="AD362" s="16"/>
      <c r="AF362" s="16"/>
      <c r="AH362" s="16"/>
      <c r="AJ362" s="16"/>
      <c r="AL362" s="16"/>
      <c r="AN362" s="16"/>
      <c r="AP362" s="16"/>
      <c r="AR362" s="16"/>
      <c r="AT362" s="16"/>
      <c r="AV362" s="16"/>
    </row>
    <row r="363" spans="3:48" ht="12.75">
      <c r="C363" s="16"/>
      <c r="E363" s="16"/>
      <c r="G363" s="16"/>
      <c r="I363" s="16"/>
      <c r="K363" s="16"/>
      <c r="M363" s="16"/>
      <c r="O363" s="16"/>
      <c r="Q363" s="16"/>
      <c r="R363" s="16"/>
      <c r="T363" s="16"/>
      <c r="V363" s="16"/>
      <c r="X363" s="16"/>
      <c r="Z363" s="16"/>
      <c r="AB363" s="16"/>
      <c r="AD363" s="16"/>
      <c r="AF363" s="16"/>
      <c r="AH363" s="16"/>
      <c r="AJ363" s="16"/>
      <c r="AL363" s="16"/>
      <c r="AN363" s="16"/>
      <c r="AP363" s="16"/>
      <c r="AR363" s="16"/>
      <c r="AT363" s="16"/>
      <c r="AV363" s="16"/>
    </row>
    <row r="364" spans="3:48" ht="12.75">
      <c r="C364" s="16"/>
      <c r="E364" s="16"/>
      <c r="G364" s="16"/>
      <c r="I364" s="16"/>
      <c r="K364" s="16"/>
      <c r="M364" s="16"/>
      <c r="O364" s="16"/>
      <c r="Q364" s="16"/>
      <c r="R364" s="16"/>
      <c r="T364" s="16"/>
      <c r="V364" s="16"/>
      <c r="X364" s="16"/>
      <c r="Z364" s="16"/>
      <c r="AB364" s="16"/>
      <c r="AD364" s="16"/>
      <c r="AF364" s="16"/>
      <c r="AH364" s="16"/>
      <c r="AJ364" s="16"/>
      <c r="AL364" s="16"/>
      <c r="AN364" s="16"/>
      <c r="AP364" s="16"/>
      <c r="AR364" s="16"/>
      <c r="AT364" s="16"/>
      <c r="AV364" s="16"/>
    </row>
    <row r="365" spans="3:48" ht="12.75">
      <c r="C365" s="16"/>
      <c r="E365" s="16"/>
      <c r="G365" s="16"/>
      <c r="I365" s="16"/>
      <c r="K365" s="16"/>
      <c r="M365" s="16"/>
      <c r="O365" s="16"/>
      <c r="Q365" s="16"/>
      <c r="R365" s="16"/>
      <c r="T365" s="16"/>
      <c r="V365" s="16"/>
      <c r="X365" s="16"/>
      <c r="Z365" s="16"/>
      <c r="AB365" s="16"/>
      <c r="AD365" s="16"/>
      <c r="AF365" s="16"/>
      <c r="AH365" s="16"/>
      <c r="AJ365" s="16"/>
      <c r="AL365" s="16"/>
      <c r="AN365" s="16"/>
      <c r="AP365" s="16"/>
      <c r="AR365" s="16"/>
      <c r="AT365" s="16"/>
      <c r="AV365" s="16"/>
    </row>
    <row r="366" spans="3:48" ht="12.75">
      <c r="C366" s="16"/>
      <c r="E366" s="16"/>
      <c r="G366" s="16"/>
      <c r="I366" s="16"/>
      <c r="K366" s="16"/>
      <c r="M366" s="16"/>
      <c r="O366" s="16"/>
      <c r="Q366" s="16"/>
      <c r="R366" s="16"/>
      <c r="T366" s="16"/>
      <c r="V366" s="16"/>
      <c r="X366" s="16"/>
      <c r="Z366" s="16"/>
      <c r="AB366" s="16"/>
      <c r="AD366" s="16"/>
      <c r="AF366" s="16"/>
      <c r="AH366" s="16"/>
      <c r="AJ366" s="16"/>
      <c r="AL366" s="16"/>
      <c r="AN366" s="16"/>
      <c r="AP366" s="16"/>
      <c r="AR366" s="16"/>
      <c r="AT366" s="16"/>
      <c r="AV366" s="16"/>
    </row>
    <row r="367" spans="3:48" ht="12.75">
      <c r="C367" s="16"/>
      <c r="E367" s="16"/>
      <c r="G367" s="16"/>
      <c r="I367" s="16"/>
      <c r="K367" s="16"/>
      <c r="M367" s="16"/>
      <c r="O367" s="16"/>
      <c r="Q367" s="16"/>
      <c r="R367" s="16"/>
      <c r="T367" s="16"/>
      <c r="V367" s="16"/>
      <c r="X367" s="16"/>
      <c r="Z367" s="16"/>
      <c r="AB367" s="16"/>
      <c r="AD367" s="16"/>
      <c r="AF367" s="16"/>
      <c r="AH367" s="16"/>
      <c r="AJ367" s="16"/>
      <c r="AL367" s="16"/>
      <c r="AN367" s="16"/>
      <c r="AP367" s="16"/>
      <c r="AR367" s="16"/>
      <c r="AT367" s="16"/>
      <c r="AV367" s="16"/>
    </row>
    <row r="368" spans="3:48" ht="12.75">
      <c r="C368" s="16"/>
      <c r="E368" s="16"/>
      <c r="G368" s="16"/>
      <c r="I368" s="16"/>
      <c r="K368" s="16"/>
      <c r="M368" s="16"/>
      <c r="O368" s="16"/>
      <c r="Q368" s="16"/>
      <c r="R368" s="16"/>
      <c r="T368" s="16"/>
      <c r="V368" s="16"/>
      <c r="X368" s="16"/>
      <c r="Z368" s="16"/>
      <c r="AB368" s="16"/>
      <c r="AD368" s="16"/>
      <c r="AF368" s="16"/>
      <c r="AH368" s="16"/>
      <c r="AJ368" s="16"/>
      <c r="AL368" s="16"/>
      <c r="AN368" s="16"/>
      <c r="AP368" s="16"/>
      <c r="AR368" s="16"/>
      <c r="AT368" s="16"/>
      <c r="AV368" s="16"/>
    </row>
    <row r="369" spans="3:48" ht="12.75">
      <c r="C369" s="16"/>
      <c r="E369" s="16"/>
      <c r="G369" s="16"/>
      <c r="I369" s="16"/>
      <c r="K369" s="16"/>
      <c r="M369" s="16"/>
      <c r="O369" s="16"/>
      <c r="Q369" s="16"/>
      <c r="R369" s="16"/>
      <c r="T369" s="16"/>
      <c r="V369" s="16"/>
      <c r="X369" s="16"/>
      <c r="Z369" s="16"/>
      <c r="AB369" s="16"/>
      <c r="AD369" s="16"/>
      <c r="AF369" s="16"/>
      <c r="AH369" s="16"/>
      <c r="AJ369" s="16"/>
      <c r="AL369" s="16"/>
      <c r="AN369" s="16"/>
      <c r="AP369" s="16"/>
      <c r="AR369" s="16"/>
      <c r="AT369" s="16"/>
      <c r="AV369" s="16"/>
    </row>
    <row r="370" spans="3:48" ht="12.75">
      <c r="C370" s="16"/>
      <c r="E370" s="16"/>
      <c r="G370" s="16"/>
      <c r="I370" s="16"/>
      <c r="K370" s="16"/>
      <c r="M370" s="16"/>
      <c r="O370" s="16"/>
      <c r="Q370" s="16"/>
      <c r="R370" s="16"/>
      <c r="T370" s="16"/>
      <c r="V370" s="16"/>
      <c r="X370" s="16"/>
      <c r="Z370" s="16"/>
      <c r="AB370" s="16"/>
      <c r="AD370" s="16"/>
      <c r="AF370" s="16"/>
      <c r="AH370" s="16"/>
      <c r="AJ370" s="16"/>
      <c r="AL370" s="16"/>
      <c r="AN370" s="16"/>
      <c r="AP370" s="16"/>
      <c r="AR370" s="16"/>
      <c r="AT370" s="16"/>
      <c r="AV370" s="16"/>
    </row>
    <row r="371" spans="3:48" ht="12.75">
      <c r="C371" s="16"/>
      <c r="E371" s="16"/>
      <c r="G371" s="16"/>
      <c r="I371" s="16"/>
      <c r="K371" s="16"/>
      <c r="M371" s="16"/>
      <c r="O371" s="16"/>
      <c r="Q371" s="16"/>
      <c r="R371" s="16"/>
      <c r="T371" s="16"/>
      <c r="V371" s="16"/>
      <c r="X371" s="16"/>
      <c r="Z371" s="16"/>
      <c r="AB371" s="16"/>
      <c r="AD371" s="16"/>
      <c r="AF371" s="16"/>
      <c r="AH371" s="16"/>
      <c r="AJ371" s="16"/>
      <c r="AL371" s="16"/>
      <c r="AN371" s="16"/>
      <c r="AP371" s="16"/>
      <c r="AR371" s="16"/>
      <c r="AT371" s="16"/>
      <c r="AV371" s="16"/>
    </row>
    <row r="372" spans="3:48" ht="12.75">
      <c r="C372" s="16"/>
      <c r="E372" s="16"/>
      <c r="G372" s="16"/>
      <c r="I372" s="16"/>
      <c r="K372" s="16"/>
      <c r="M372" s="16"/>
      <c r="O372" s="16"/>
      <c r="Q372" s="16"/>
      <c r="R372" s="16"/>
      <c r="T372" s="16"/>
      <c r="V372" s="16"/>
      <c r="X372" s="16"/>
      <c r="Z372" s="16"/>
      <c r="AB372" s="16"/>
      <c r="AD372" s="16"/>
      <c r="AF372" s="16"/>
      <c r="AH372" s="16"/>
      <c r="AJ372" s="16"/>
      <c r="AL372" s="16"/>
      <c r="AN372" s="16"/>
      <c r="AP372" s="16"/>
      <c r="AR372" s="16"/>
      <c r="AT372" s="16"/>
      <c r="AV372" s="16"/>
    </row>
    <row r="373" spans="3:48" ht="12.75">
      <c r="C373" s="16"/>
      <c r="E373" s="16"/>
      <c r="G373" s="16"/>
      <c r="I373" s="16"/>
      <c r="K373" s="16"/>
      <c r="M373" s="16"/>
      <c r="O373" s="16"/>
      <c r="Q373" s="16"/>
      <c r="R373" s="16"/>
      <c r="T373" s="16"/>
      <c r="V373" s="16"/>
      <c r="X373" s="16"/>
      <c r="Z373" s="16"/>
      <c r="AB373" s="16"/>
      <c r="AD373" s="16"/>
      <c r="AF373" s="16"/>
      <c r="AH373" s="16"/>
      <c r="AJ373" s="16"/>
      <c r="AL373" s="16"/>
      <c r="AN373" s="16"/>
      <c r="AP373" s="16"/>
      <c r="AR373" s="16"/>
      <c r="AT373" s="16"/>
      <c r="AV373" s="16"/>
    </row>
    <row r="374" spans="3:48" ht="12.75">
      <c r="C374" s="16"/>
      <c r="E374" s="16"/>
      <c r="G374" s="16"/>
      <c r="I374" s="16"/>
      <c r="K374" s="16"/>
      <c r="M374" s="16"/>
      <c r="O374" s="16"/>
      <c r="Q374" s="16"/>
      <c r="R374" s="16"/>
      <c r="T374" s="16"/>
      <c r="V374" s="16"/>
      <c r="X374" s="16"/>
      <c r="Z374" s="16"/>
      <c r="AB374" s="16"/>
      <c r="AD374" s="16"/>
      <c r="AF374" s="16"/>
      <c r="AH374" s="16"/>
      <c r="AJ374" s="16"/>
      <c r="AL374" s="16"/>
      <c r="AN374" s="16"/>
      <c r="AP374" s="16"/>
      <c r="AR374" s="16"/>
      <c r="AT374" s="16"/>
      <c r="AV374" s="16"/>
    </row>
    <row r="375" spans="3:48" ht="12.75">
      <c r="C375" s="16"/>
      <c r="E375" s="16"/>
      <c r="G375" s="16"/>
      <c r="I375" s="16"/>
      <c r="K375" s="16"/>
      <c r="M375" s="16"/>
      <c r="O375" s="16"/>
      <c r="Q375" s="16"/>
      <c r="R375" s="16"/>
      <c r="T375" s="16"/>
      <c r="V375" s="16"/>
      <c r="X375" s="16"/>
      <c r="Z375" s="16"/>
      <c r="AB375" s="16"/>
      <c r="AD375" s="16"/>
      <c r="AF375" s="16"/>
      <c r="AH375" s="16"/>
      <c r="AJ375" s="16"/>
      <c r="AL375" s="16"/>
      <c r="AN375" s="16"/>
      <c r="AP375" s="16"/>
      <c r="AR375" s="16"/>
      <c r="AT375" s="16"/>
      <c r="AV375" s="16"/>
    </row>
    <row r="376" spans="3:48" ht="12.75">
      <c r="C376" s="16"/>
      <c r="E376" s="16"/>
      <c r="G376" s="16"/>
      <c r="I376" s="16"/>
      <c r="K376" s="16"/>
      <c r="M376" s="16"/>
      <c r="O376" s="16"/>
      <c r="Q376" s="16"/>
      <c r="R376" s="16"/>
      <c r="T376" s="16"/>
      <c r="V376" s="16"/>
      <c r="X376" s="16"/>
      <c r="Z376" s="16"/>
      <c r="AB376" s="16"/>
      <c r="AD376" s="16"/>
      <c r="AF376" s="16"/>
      <c r="AH376" s="16"/>
      <c r="AJ376" s="16"/>
      <c r="AL376" s="16"/>
      <c r="AN376" s="16"/>
      <c r="AP376" s="16"/>
      <c r="AR376" s="16"/>
      <c r="AT376" s="16"/>
      <c r="AV376" s="16"/>
    </row>
    <row r="377" spans="3:48" ht="12.75">
      <c r="C377" s="16"/>
      <c r="E377" s="16"/>
      <c r="G377" s="16"/>
      <c r="I377" s="16"/>
      <c r="K377" s="16"/>
      <c r="M377" s="16"/>
      <c r="O377" s="16"/>
      <c r="Q377" s="16"/>
      <c r="R377" s="16"/>
      <c r="T377" s="16"/>
      <c r="V377" s="16"/>
      <c r="X377" s="16"/>
      <c r="Z377" s="16"/>
      <c r="AB377" s="16"/>
      <c r="AD377" s="16"/>
      <c r="AF377" s="16"/>
      <c r="AH377" s="16"/>
      <c r="AJ377" s="16"/>
      <c r="AL377" s="16"/>
      <c r="AN377" s="16"/>
      <c r="AP377" s="16"/>
      <c r="AR377" s="16"/>
      <c r="AT377" s="16"/>
      <c r="AV377" s="16"/>
    </row>
    <row r="378" spans="3:48" ht="12.75">
      <c r="C378" s="16"/>
      <c r="E378" s="16"/>
      <c r="G378" s="16"/>
      <c r="I378" s="16"/>
      <c r="K378" s="16"/>
      <c r="M378" s="16"/>
      <c r="O378" s="16"/>
      <c r="Q378" s="16"/>
      <c r="R378" s="16"/>
      <c r="T378" s="16"/>
      <c r="V378" s="16"/>
      <c r="X378" s="16"/>
      <c r="Z378" s="16"/>
      <c r="AB378" s="16"/>
      <c r="AD378" s="16"/>
      <c r="AF378" s="16"/>
      <c r="AH378" s="16"/>
      <c r="AJ378" s="16"/>
      <c r="AL378" s="16"/>
      <c r="AN378" s="16"/>
      <c r="AP378" s="16"/>
      <c r="AR378" s="16"/>
      <c r="AT378" s="16"/>
      <c r="AV378" s="16"/>
    </row>
    <row r="379" spans="3:48" ht="12.75">
      <c r="C379" s="16"/>
      <c r="E379" s="16"/>
      <c r="G379" s="16"/>
      <c r="I379" s="16"/>
      <c r="K379" s="16"/>
      <c r="M379" s="16"/>
      <c r="O379" s="16"/>
      <c r="Q379" s="16"/>
      <c r="R379" s="16"/>
      <c r="T379" s="16"/>
      <c r="V379" s="16"/>
      <c r="X379" s="16"/>
      <c r="Z379" s="16"/>
      <c r="AB379" s="16"/>
      <c r="AD379" s="16"/>
      <c r="AF379" s="16"/>
      <c r="AH379" s="16"/>
      <c r="AJ379" s="16"/>
      <c r="AL379" s="16"/>
      <c r="AN379" s="16"/>
      <c r="AP379" s="16"/>
      <c r="AR379" s="16"/>
      <c r="AT379" s="16"/>
      <c r="AV379" s="16"/>
    </row>
    <row r="380" spans="3:48" ht="12.75">
      <c r="C380" s="16"/>
      <c r="E380" s="16"/>
      <c r="G380" s="16"/>
      <c r="I380" s="16"/>
      <c r="K380" s="16"/>
      <c r="M380" s="16"/>
      <c r="O380" s="16"/>
      <c r="Q380" s="16"/>
      <c r="R380" s="16"/>
      <c r="T380" s="16"/>
      <c r="V380" s="16"/>
      <c r="X380" s="16"/>
      <c r="Z380" s="16"/>
      <c r="AB380" s="16"/>
      <c r="AD380" s="16"/>
      <c r="AF380" s="16"/>
      <c r="AH380" s="16"/>
      <c r="AJ380" s="16"/>
      <c r="AL380" s="16"/>
      <c r="AN380" s="16"/>
      <c r="AP380" s="16"/>
      <c r="AR380" s="16"/>
      <c r="AT380" s="16"/>
      <c r="AV380" s="16"/>
    </row>
    <row r="381" spans="3:48" ht="12.75">
      <c r="C381" s="16"/>
      <c r="E381" s="16"/>
      <c r="G381" s="16"/>
      <c r="I381" s="16"/>
      <c r="K381" s="16"/>
      <c r="M381" s="16"/>
      <c r="O381" s="16"/>
      <c r="Q381" s="16"/>
      <c r="R381" s="16"/>
      <c r="T381" s="16"/>
      <c r="V381" s="16"/>
      <c r="X381" s="16"/>
      <c r="Z381" s="16"/>
      <c r="AB381" s="16"/>
      <c r="AD381" s="16"/>
      <c r="AF381" s="16"/>
      <c r="AH381" s="16"/>
      <c r="AJ381" s="16"/>
      <c r="AL381" s="16"/>
      <c r="AN381" s="16"/>
      <c r="AP381" s="16"/>
      <c r="AR381" s="16"/>
      <c r="AT381" s="16"/>
      <c r="AV381" s="16"/>
    </row>
    <row r="382" spans="3:48" ht="12.75">
      <c r="C382" s="16"/>
      <c r="E382" s="16"/>
      <c r="G382" s="16"/>
      <c r="I382" s="16"/>
      <c r="K382" s="16"/>
      <c r="M382" s="16"/>
      <c r="O382" s="16"/>
      <c r="Q382" s="16"/>
      <c r="R382" s="16"/>
      <c r="T382" s="16"/>
      <c r="V382" s="16"/>
      <c r="X382" s="16"/>
      <c r="Z382" s="16"/>
      <c r="AB382" s="16"/>
      <c r="AD382" s="16"/>
      <c r="AF382" s="16"/>
      <c r="AH382" s="16"/>
      <c r="AJ382" s="16"/>
      <c r="AL382" s="16"/>
      <c r="AN382" s="16"/>
      <c r="AP382" s="16"/>
      <c r="AR382" s="16"/>
      <c r="AT382" s="16"/>
      <c r="AV382" s="16"/>
    </row>
    <row r="383" spans="3:48" ht="12.75">
      <c r="C383" s="16"/>
      <c r="E383" s="16"/>
      <c r="G383" s="16"/>
      <c r="I383" s="16"/>
      <c r="K383" s="16"/>
      <c r="M383" s="16"/>
      <c r="O383" s="16"/>
      <c r="Q383" s="16"/>
      <c r="R383" s="16"/>
      <c r="T383" s="16"/>
      <c r="V383" s="16"/>
      <c r="X383" s="16"/>
      <c r="Z383" s="16"/>
      <c r="AB383" s="16"/>
      <c r="AD383" s="16"/>
      <c r="AF383" s="16"/>
      <c r="AH383" s="16"/>
      <c r="AJ383" s="16"/>
      <c r="AL383" s="16"/>
      <c r="AN383" s="16"/>
      <c r="AP383" s="16"/>
      <c r="AR383" s="16"/>
      <c r="AT383" s="16"/>
      <c r="AV383" s="16"/>
    </row>
    <row r="384" spans="3:48" ht="12.75">
      <c r="C384" s="16"/>
      <c r="E384" s="16"/>
      <c r="G384" s="16"/>
      <c r="I384" s="16"/>
      <c r="K384" s="16"/>
      <c r="M384" s="16"/>
      <c r="O384" s="16"/>
      <c r="Q384" s="16"/>
      <c r="R384" s="16"/>
      <c r="T384" s="16"/>
      <c r="V384" s="16"/>
      <c r="X384" s="16"/>
      <c r="Z384" s="16"/>
      <c r="AB384" s="16"/>
      <c r="AD384" s="16"/>
      <c r="AF384" s="16"/>
      <c r="AH384" s="16"/>
      <c r="AJ384" s="16"/>
      <c r="AL384" s="16"/>
      <c r="AN384" s="16"/>
      <c r="AP384" s="16"/>
      <c r="AR384" s="16"/>
      <c r="AT384" s="16"/>
      <c r="AV384" s="16"/>
    </row>
    <row r="385" spans="3:48" ht="12.75">
      <c r="C385" s="16"/>
      <c r="E385" s="16"/>
      <c r="G385" s="16"/>
      <c r="I385" s="16"/>
      <c r="K385" s="16"/>
      <c r="M385" s="16"/>
      <c r="O385" s="16"/>
      <c r="Q385" s="16"/>
      <c r="R385" s="16"/>
      <c r="T385" s="16"/>
      <c r="V385" s="16"/>
      <c r="X385" s="16"/>
      <c r="Z385" s="16"/>
      <c r="AB385" s="16"/>
      <c r="AD385" s="16"/>
      <c r="AF385" s="16"/>
      <c r="AH385" s="16"/>
      <c r="AJ385" s="16"/>
      <c r="AL385" s="16"/>
      <c r="AN385" s="16"/>
      <c r="AP385" s="16"/>
      <c r="AR385" s="16"/>
      <c r="AT385" s="16"/>
      <c r="AV385" s="16"/>
    </row>
    <row r="386" spans="3:48" ht="12.75">
      <c r="C386" s="16"/>
      <c r="E386" s="16"/>
      <c r="G386" s="16"/>
      <c r="I386" s="16"/>
      <c r="K386" s="16"/>
      <c r="M386" s="16"/>
      <c r="O386" s="16"/>
      <c r="Q386" s="16"/>
      <c r="R386" s="16"/>
      <c r="T386" s="16"/>
      <c r="V386" s="16"/>
      <c r="X386" s="16"/>
      <c r="Z386" s="16"/>
      <c r="AB386" s="16"/>
      <c r="AD386" s="16"/>
      <c r="AF386" s="16"/>
      <c r="AH386" s="16"/>
      <c r="AJ386" s="16"/>
      <c r="AL386" s="16"/>
      <c r="AN386" s="16"/>
      <c r="AP386" s="16"/>
      <c r="AR386" s="16"/>
      <c r="AT386" s="16"/>
      <c r="AV386" s="16"/>
    </row>
    <row r="387" spans="3:48" ht="12.75">
      <c r="C387" s="16"/>
      <c r="E387" s="16"/>
      <c r="G387" s="16"/>
      <c r="I387" s="16"/>
      <c r="K387" s="16"/>
      <c r="M387" s="16"/>
      <c r="O387" s="16"/>
      <c r="Q387" s="16"/>
      <c r="R387" s="16"/>
      <c r="T387" s="16"/>
      <c r="V387" s="16"/>
      <c r="X387" s="16"/>
      <c r="Z387" s="16"/>
      <c r="AB387" s="16"/>
      <c r="AD387" s="16"/>
      <c r="AF387" s="16"/>
      <c r="AH387" s="16"/>
      <c r="AJ387" s="16"/>
      <c r="AL387" s="16"/>
      <c r="AN387" s="16"/>
      <c r="AP387" s="16"/>
      <c r="AR387" s="16"/>
      <c r="AT387" s="16"/>
      <c r="AV387" s="16"/>
    </row>
    <row r="388" spans="3:48" ht="12.75">
      <c r="C388" s="16"/>
      <c r="E388" s="16"/>
      <c r="G388" s="16"/>
      <c r="I388" s="16"/>
      <c r="K388" s="16"/>
      <c r="M388" s="16"/>
      <c r="O388" s="16"/>
      <c r="Q388" s="16"/>
      <c r="R388" s="16"/>
      <c r="T388" s="16"/>
      <c r="V388" s="16"/>
      <c r="X388" s="16"/>
      <c r="Z388" s="16"/>
      <c r="AB388" s="16"/>
      <c r="AD388" s="16"/>
      <c r="AF388" s="16"/>
      <c r="AH388" s="16"/>
      <c r="AJ388" s="16"/>
      <c r="AL388" s="16"/>
      <c r="AN388" s="16"/>
      <c r="AP388" s="16"/>
      <c r="AR388" s="16"/>
      <c r="AT388" s="16"/>
      <c r="AV388" s="16"/>
    </row>
    <row r="389" spans="3:48" ht="12.75">
      <c r="C389" s="16"/>
      <c r="E389" s="16"/>
      <c r="G389" s="16"/>
      <c r="I389" s="16"/>
      <c r="K389" s="16"/>
      <c r="M389" s="16"/>
      <c r="O389" s="16"/>
      <c r="Q389" s="16"/>
      <c r="R389" s="16"/>
      <c r="T389" s="16"/>
      <c r="V389" s="16"/>
      <c r="X389" s="16"/>
      <c r="Z389" s="16"/>
      <c r="AB389" s="16"/>
      <c r="AD389" s="16"/>
      <c r="AF389" s="16"/>
      <c r="AH389" s="16"/>
      <c r="AJ389" s="16"/>
      <c r="AL389" s="16"/>
      <c r="AN389" s="16"/>
      <c r="AP389" s="16"/>
      <c r="AR389" s="16"/>
      <c r="AT389" s="16"/>
      <c r="AV389" s="16"/>
    </row>
    <row r="390" spans="3:48" ht="12.75">
      <c r="C390" s="16"/>
      <c r="E390" s="16"/>
      <c r="G390" s="16"/>
      <c r="I390" s="16"/>
      <c r="K390" s="16"/>
      <c r="M390" s="16"/>
      <c r="O390" s="16"/>
      <c r="Q390" s="16"/>
      <c r="R390" s="16"/>
      <c r="T390" s="16"/>
      <c r="V390" s="16"/>
      <c r="X390" s="16"/>
      <c r="Z390" s="16"/>
      <c r="AB390" s="16"/>
      <c r="AD390" s="16"/>
      <c r="AF390" s="16"/>
      <c r="AH390" s="16"/>
      <c r="AJ390" s="16"/>
      <c r="AL390" s="16"/>
      <c r="AN390" s="16"/>
      <c r="AP390" s="16"/>
      <c r="AR390" s="16"/>
      <c r="AT390" s="16"/>
      <c r="AV390" s="16"/>
    </row>
    <row r="391" spans="3:48" ht="12.75">
      <c r="C391" s="16"/>
      <c r="E391" s="16"/>
      <c r="G391" s="16"/>
      <c r="I391" s="16"/>
      <c r="K391" s="16"/>
      <c r="M391" s="16"/>
      <c r="O391" s="16"/>
      <c r="Q391" s="16"/>
      <c r="R391" s="16"/>
      <c r="T391" s="16"/>
      <c r="V391" s="16"/>
      <c r="X391" s="16"/>
      <c r="Z391" s="16"/>
      <c r="AB391" s="16"/>
      <c r="AD391" s="16"/>
      <c r="AF391" s="16"/>
      <c r="AH391" s="16"/>
      <c r="AJ391" s="16"/>
      <c r="AL391" s="16"/>
      <c r="AN391" s="16"/>
      <c r="AP391" s="16"/>
      <c r="AR391" s="16"/>
      <c r="AT391" s="16"/>
      <c r="AV391" s="16"/>
    </row>
    <row r="392" spans="3:48" ht="12.75">
      <c r="C392" s="16"/>
      <c r="E392" s="16"/>
      <c r="G392" s="16"/>
      <c r="I392" s="16"/>
      <c r="K392" s="16"/>
      <c r="M392" s="16"/>
      <c r="O392" s="16"/>
      <c r="Q392" s="16"/>
      <c r="R392" s="16"/>
      <c r="T392" s="16"/>
      <c r="V392" s="16"/>
      <c r="X392" s="16"/>
      <c r="Z392" s="16"/>
      <c r="AB392" s="16"/>
      <c r="AD392" s="16"/>
      <c r="AF392" s="16"/>
      <c r="AH392" s="16"/>
      <c r="AJ392" s="16"/>
      <c r="AL392" s="16"/>
      <c r="AN392" s="16"/>
      <c r="AP392" s="16"/>
      <c r="AR392" s="16"/>
      <c r="AT392" s="16"/>
      <c r="AV392" s="16"/>
    </row>
    <row r="393" spans="3:48" ht="12.75">
      <c r="C393" s="16"/>
      <c r="E393" s="16"/>
      <c r="G393" s="16"/>
      <c r="I393" s="16"/>
      <c r="K393" s="16"/>
      <c r="M393" s="16"/>
      <c r="O393" s="16"/>
      <c r="Q393" s="16"/>
      <c r="R393" s="16"/>
      <c r="T393" s="16"/>
      <c r="V393" s="16"/>
      <c r="X393" s="16"/>
      <c r="Z393" s="16"/>
      <c r="AB393" s="16"/>
      <c r="AD393" s="16"/>
      <c r="AF393" s="16"/>
      <c r="AH393" s="16"/>
      <c r="AJ393" s="16"/>
      <c r="AL393" s="16"/>
      <c r="AN393" s="16"/>
      <c r="AP393" s="16"/>
      <c r="AR393" s="16"/>
      <c r="AT393" s="16"/>
      <c r="AV393" s="16"/>
    </row>
    <row r="394" spans="3:48" ht="12.75">
      <c r="C394" s="16"/>
      <c r="E394" s="16"/>
      <c r="G394" s="16"/>
      <c r="I394" s="16"/>
      <c r="K394" s="16"/>
      <c r="M394" s="16"/>
      <c r="O394" s="16"/>
      <c r="Q394" s="16"/>
      <c r="R394" s="16"/>
      <c r="T394" s="16"/>
      <c r="V394" s="16"/>
      <c r="X394" s="16"/>
      <c r="Z394" s="16"/>
      <c r="AB394" s="16"/>
      <c r="AD394" s="16"/>
      <c r="AF394" s="16"/>
      <c r="AH394" s="16"/>
      <c r="AJ394" s="16"/>
      <c r="AL394" s="16"/>
      <c r="AN394" s="16"/>
      <c r="AP394" s="16"/>
      <c r="AR394" s="16"/>
      <c r="AT394" s="16"/>
      <c r="AV394" s="16"/>
    </row>
    <row r="395" spans="3:48" ht="12.75">
      <c r="C395" s="16"/>
      <c r="E395" s="16"/>
      <c r="G395" s="16"/>
      <c r="I395" s="16"/>
      <c r="K395" s="16"/>
      <c r="M395" s="16"/>
      <c r="O395" s="16"/>
      <c r="Q395" s="16"/>
      <c r="R395" s="16"/>
      <c r="T395" s="16"/>
      <c r="V395" s="16"/>
      <c r="X395" s="16"/>
      <c r="Z395" s="16"/>
      <c r="AB395" s="16"/>
      <c r="AD395" s="16"/>
      <c r="AF395" s="16"/>
      <c r="AH395" s="16"/>
      <c r="AJ395" s="16"/>
      <c r="AL395" s="16"/>
      <c r="AN395" s="16"/>
      <c r="AP395" s="16"/>
      <c r="AR395" s="16"/>
      <c r="AT395" s="16"/>
      <c r="AV395" s="16"/>
    </row>
    <row r="396" spans="3:48" ht="12.75">
      <c r="C396" s="16"/>
      <c r="E396" s="16"/>
      <c r="G396" s="16"/>
      <c r="I396" s="16"/>
      <c r="K396" s="16"/>
      <c r="M396" s="16"/>
      <c r="O396" s="16"/>
      <c r="Q396" s="16"/>
      <c r="R396" s="16"/>
      <c r="T396" s="16"/>
      <c r="V396" s="16"/>
      <c r="X396" s="16"/>
      <c r="Z396" s="16"/>
      <c r="AB396" s="16"/>
      <c r="AD396" s="16"/>
      <c r="AF396" s="16"/>
      <c r="AH396" s="16"/>
      <c r="AJ396" s="16"/>
      <c r="AL396" s="16"/>
      <c r="AN396" s="16"/>
      <c r="AP396" s="16"/>
      <c r="AR396" s="16"/>
      <c r="AT396" s="16"/>
      <c r="AV396" s="16"/>
    </row>
    <row r="397" spans="3:48" ht="12.75">
      <c r="C397" s="16"/>
      <c r="E397" s="16"/>
      <c r="G397" s="16"/>
      <c r="I397" s="16"/>
      <c r="K397" s="16"/>
      <c r="M397" s="16"/>
      <c r="O397" s="16"/>
      <c r="Q397" s="16"/>
      <c r="R397" s="16"/>
      <c r="T397" s="16"/>
      <c r="V397" s="16"/>
      <c r="X397" s="16"/>
      <c r="Z397" s="16"/>
      <c r="AB397" s="16"/>
      <c r="AD397" s="16"/>
      <c r="AF397" s="16"/>
      <c r="AH397" s="16"/>
      <c r="AJ397" s="16"/>
      <c r="AL397" s="16"/>
      <c r="AN397" s="16"/>
      <c r="AP397" s="16"/>
      <c r="AR397" s="16"/>
      <c r="AT397" s="16"/>
      <c r="AV397" s="16"/>
    </row>
    <row r="398" spans="3:48" ht="12.75">
      <c r="C398" s="16"/>
      <c r="E398" s="16"/>
      <c r="G398" s="16"/>
      <c r="I398" s="16"/>
      <c r="K398" s="16"/>
      <c r="M398" s="16"/>
      <c r="O398" s="16"/>
      <c r="Q398" s="16"/>
      <c r="R398" s="16"/>
      <c r="T398" s="16"/>
      <c r="V398" s="16"/>
      <c r="X398" s="16"/>
      <c r="Z398" s="16"/>
      <c r="AB398" s="16"/>
      <c r="AD398" s="16"/>
      <c r="AF398" s="16"/>
      <c r="AH398" s="16"/>
      <c r="AJ398" s="16"/>
      <c r="AL398" s="16"/>
      <c r="AN398" s="16"/>
      <c r="AP398" s="16"/>
      <c r="AR398" s="16"/>
      <c r="AT398" s="16"/>
      <c r="AV398" s="16"/>
    </row>
    <row r="399" spans="3:48" ht="12.75">
      <c r="C399" s="16"/>
      <c r="E399" s="16"/>
      <c r="G399" s="16"/>
      <c r="I399" s="16"/>
      <c r="K399" s="16"/>
      <c r="M399" s="16"/>
      <c r="O399" s="16"/>
      <c r="Q399" s="16"/>
      <c r="R399" s="16"/>
      <c r="T399" s="16"/>
      <c r="V399" s="16"/>
      <c r="X399" s="16"/>
      <c r="Z399" s="16"/>
      <c r="AB399" s="16"/>
      <c r="AD399" s="16"/>
      <c r="AF399" s="16"/>
      <c r="AH399" s="16"/>
      <c r="AJ399" s="16"/>
      <c r="AL399" s="16"/>
      <c r="AN399" s="16"/>
      <c r="AP399" s="16"/>
      <c r="AR399" s="16"/>
      <c r="AT399" s="16"/>
      <c r="AV399" s="16"/>
    </row>
    <row r="400" spans="3:48" ht="12.75">
      <c r="C400" s="16"/>
      <c r="E400" s="16"/>
      <c r="G400" s="16"/>
      <c r="I400" s="16"/>
      <c r="K400" s="16"/>
      <c r="M400" s="16"/>
      <c r="O400" s="16"/>
      <c r="Q400" s="16"/>
      <c r="R400" s="16"/>
      <c r="T400" s="16"/>
      <c r="V400" s="16"/>
      <c r="X400" s="16"/>
      <c r="Z400" s="16"/>
      <c r="AB400" s="16"/>
      <c r="AD400" s="16"/>
      <c r="AF400" s="16"/>
      <c r="AH400" s="16"/>
      <c r="AJ400" s="16"/>
      <c r="AL400" s="16"/>
      <c r="AN400" s="16"/>
      <c r="AP400" s="16"/>
      <c r="AR400" s="16"/>
      <c r="AT400" s="16"/>
      <c r="AV400" s="16"/>
    </row>
    <row r="401" spans="3:48" ht="12.75">
      <c r="C401" s="16"/>
      <c r="E401" s="16"/>
      <c r="G401" s="16"/>
      <c r="I401" s="16"/>
      <c r="K401" s="16"/>
      <c r="M401" s="16"/>
      <c r="O401" s="16"/>
      <c r="Q401" s="16"/>
      <c r="R401" s="16"/>
      <c r="T401" s="16"/>
      <c r="V401" s="16"/>
      <c r="X401" s="16"/>
      <c r="Z401" s="16"/>
      <c r="AB401" s="16"/>
      <c r="AD401" s="16"/>
      <c r="AF401" s="16"/>
      <c r="AH401" s="16"/>
      <c r="AJ401" s="16"/>
      <c r="AL401" s="16"/>
      <c r="AN401" s="16"/>
      <c r="AP401" s="16"/>
      <c r="AR401" s="16"/>
      <c r="AT401" s="16"/>
      <c r="AV401" s="16"/>
    </row>
    <row r="402" spans="3:48" ht="12.75">
      <c r="C402" s="16"/>
      <c r="E402" s="16"/>
      <c r="G402" s="16"/>
      <c r="I402" s="16"/>
      <c r="K402" s="16"/>
      <c r="M402" s="16"/>
      <c r="O402" s="16"/>
      <c r="Q402" s="16"/>
      <c r="R402" s="16"/>
      <c r="T402" s="16"/>
      <c r="V402" s="16"/>
      <c r="X402" s="16"/>
      <c r="Z402" s="16"/>
      <c r="AB402" s="16"/>
      <c r="AD402" s="16"/>
      <c r="AF402" s="16"/>
      <c r="AH402" s="16"/>
      <c r="AJ402" s="16"/>
      <c r="AL402" s="16"/>
      <c r="AN402" s="16"/>
      <c r="AP402" s="16"/>
      <c r="AR402" s="16"/>
      <c r="AT402" s="16"/>
      <c r="AV402" s="16"/>
    </row>
    <row r="403" spans="3:48" ht="12.75">
      <c r="C403" s="16"/>
      <c r="E403" s="16"/>
      <c r="G403" s="16"/>
      <c r="I403" s="16"/>
      <c r="K403" s="16"/>
      <c r="M403" s="16"/>
      <c r="O403" s="16"/>
      <c r="Q403" s="16"/>
      <c r="R403" s="16"/>
      <c r="T403" s="16"/>
      <c r="V403" s="16"/>
      <c r="X403" s="16"/>
      <c r="Z403" s="16"/>
      <c r="AB403" s="16"/>
      <c r="AD403" s="16"/>
      <c r="AF403" s="16"/>
      <c r="AH403" s="16"/>
      <c r="AJ403" s="16"/>
      <c r="AL403" s="16"/>
      <c r="AN403" s="16"/>
      <c r="AP403" s="16"/>
      <c r="AR403" s="16"/>
      <c r="AT403" s="16"/>
      <c r="AV403" s="16"/>
    </row>
    <row r="404" spans="3:48" ht="12.75">
      <c r="C404" s="16"/>
      <c r="E404" s="16"/>
      <c r="G404" s="16"/>
      <c r="I404" s="16"/>
      <c r="K404" s="16"/>
      <c r="M404" s="16"/>
      <c r="O404" s="16"/>
      <c r="Q404" s="16"/>
      <c r="R404" s="16"/>
      <c r="T404" s="16"/>
      <c r="V404" s="16"/>
      <c r="X404" s="16"/>
      <c r="Z404" s="16"/>
      <c r="AB404" s="16"/>
      <c r="AD404" s="16"/>
      <c r="AF404" s="16"/>
      <c r="AH404" s="16"/>
      <c r="AJ404" s="16"/>
      <c r="AL404" s="16"/>
      <c r="AN404" s="16"/>
      <c r="AP404" s="16"/>
      <c r="AR404" s="16"/>
      <c r="AT404" s="16"/>
      <c r="AV404" s="16"/>
    </row>
    <row r="405" spans="3:48" ht="12.75">
      <c r="C405" s="16"/>
      <c r="E405" s="16"/>
      <c r="G405" s="16"/>
      <c r="I405" s="16"/>
      <c r="K405" s="16"/>
      <c r="M405" s="16"/>
      <c r="O405" s="16"/>
      <c r="Q405" s="16"/>
      <c r="R405" s="16"/>
      <c r="T405" s="16"/>
      <c r="V405" s="16"/>
      <c r="X405" s="16"/>
      <c r="Z405" s="16"/>
      <c r="AB405" s="16"/>
      <c r="AD405" s="16"/>
      <c r="AF405" s="16"/>
      <c r="AH405" s="16"/>
      <c r="AJ405" s="16"/>
      <c r="AL405" s="16"/>
      <c r="AN405" s="16"/>
      <c r="AP405" s="16"/>
      <c r="AR405" s="16"/>
      <c r="AT405" s="16"/>
      <c r="AV405" s="16"/>
    </row>
    <row r="406" spans="3:48" ht="12.75">
      <c r="C406" s="16"/>
      <c r="E406" s="16"/>
      <c r="G406" s="16"/>
      <c r="I406" s="16"/>
      <c r="K406" s="16"/>
      <c r="M406" s="16"/>
      <c r="O406" s="16"/>
      <c r="Q406" s="16"/>
      <c r="R406" s="16"/>
      <c r="T406" s="16"/>
      <c r="V406" s="16"/>
      <c r="X406" s="16"/>
      <c r="Z406" s="16"/>
      <c r="AB406" s="16"/>
      <c r="AD406" s="16"/>
      <c r="AF406" s="16"/>
      <c r="AH406" s="16"/>
      <c r="AJ406" s="16"/>
      <c r="AL406" s="16"/>
      <c r="AN406" s="16"/>
      <c r="AP406" s="16"/>
      <c r="AR406" s="16"/>
      <c r="AT406" s="16"/>
      <c r="AV406" s="16"/>
    </row>
    <row r="407" spans="3:48" ht="12.75">
      <c r="C407" s="16"/>
      <c r="E407" s="16"/>
      <c r="G407" s="16"/>
      <c r="I407" s="16"/>
      <c r="K407" s="16"/>
      <c r="M407" s="16"/>
      <c r="O407" s="16"/>
      <c r="Q407" s="16"/>
      <c r="R407" s="16"/>
      <c r="T407" s="16"/>
      <c r="V407" s="16"/>
      <c r="X407" s="16"/>
      <c r="Z407" s="16"/>
      <c r="AB407" s="16"/>
      <c r="AD407" s="16"/>
      <c r="AF407" s="16"/>
      <c r="AH407" s="16"/>
      <c r="AJ407" s="16"/>
      <c r="AL407" s="16"/>
      <c r="AN407" s="16"/>
      <c r="AP407" s="16"/>
      <c r="AR407" s="16"/>
      <c r="AT407" s="16"/>
      <c r="AV407" s="16"/>
    </row>
    <row r="408" spans="3:48" ht="12.75">
      <c r="C408" s="16"/>
      <c r="E408" s="16"/>
      <c r="G408" s="16"/>
      <c r="I408" s="16"/>
      <c r="K408" s="16"/>
      <c r="M408" s="16"/>
      <c r="O408" s="16"/>
      <c r="Q408" s="16"/>
      <c r="R408" s="16"/>
      <c r="T408" s="16"/>
      <c r="V408" s="16"/>
      <c r="X408" s="16"/>
      <c r="Z408" s="16"/>
      <c r="AB408" s="16"/>
      <c r="AD408" s="16"/>
      <c r="AF408" s="16"/>
      <c r="AH408" s="16"/>
      <c r="AJ408" s="16"/>
      <c r="AL408" s="16"/>
      <c r="AN408" s="16"/>
      <c r="AP408" s="16"/>
      <c r="AR408" s="16"/>
      <c r="AT408" s="16"/>
      <c r="AV408" s="16"/>
    </row>
    <row r="409" spans="3:48" ht="12.75">
      <c r="C409" s="16"/>
      <c r="E409" s="16"/>
      <c r="G409" s="16"/>
      <c r="I409" s="16"/>
      <c r="K409" s="16"/>
      <c r="M409" s="16"/>
      <c r="O409" s="16"/>
      <c r="Q409" s="16"/>
      <c r="R409" s="16"/>
      <c r="T409" s="16"/>
      <c r="V409" s="16"/>
      <c r="X409" s="16"/>
      <c r="Z409" s="16"/>
      <c r="AB409" s="16"/>
      <c r="AD409" s="16"/>
      <c r="AF409" s="16"/>
      <c r="AH409" s="16"/>
      <c r="AJ409" s="16"/>
      <c r="AL409" s="16"/>
      <c r="AN409" s="16"/>
      <c r="AP409" s="16"/>
      <c r="AR409" s="16"/>
      <c r="AT409" s="16"/>
      <c r="AV409" s="16"/>
    </row>
    <row r="410" spans="3:48" ht="12.75">
      <c r="C410" s="16"/>
      <c r="E410" s="16"/>
      <c r="G410" s="16"/>
      <c r="I410" s="16"/>
      <c r="K410" s="16"/>
      <c r="M410" s="16"/>
      <c r="O410" s="16"/>
      <c r="Q410" s="16"/>
      <c r="R410" s="16"/>
      <c r="T410" s="16"/>
      <c r="V410" s="16"/>
      <c r="X410" s="16"/>
      <c r="Z410" s="16"/>
      <c r="AB410" s="16"/>
      <c r="AD410" s="16"/>
      <c r="AF410" s="16"/>
      <c r="AH410" s="16"/>
      <c r="AJ410" s="16"/>
      <c r="AL410" s="16"/>
      <c r="AN410" s="16"/>
      <c r="AP410" s="16"/>
      <c r="AR410" s="16"/>
      <c r="AT410" s="16"/>
      <c r="AV410" s="16"/>
    </row>
    <row r="411" spans="3:48" ht="12.75">
      <c r="C411" s="16"/>
      <c r="E411" s="16"/>
      <c r="G411" s="16"/>
      <c r="I411" s="16"/>
      <c r="K411" s="16"/>
      <c r="M411" s="16"/>
      <c r="O411" s="16"/>
      <c r="Q411" s="16"/>
      <c r="R411" s="16"/>
      <c r="T411" s="16"/>
      <c r="V411" s="16"/>
      <c r="X411" s="16"/>
      <c r="Z411" s="16"/>
      <c r="AB411" s="16"/>
      <c r="AD411" s="16"/>
      <c r="AF411" s="16"/>
      <c r="AH411" s="16"/>
      <c r="AJ411" s="16"/>
      <c r="AL411" s="16"/>
      <c r="AN411" s="16"/>
      <c r="AP411" s="16"/>
      <c r="AR411" s="16"/>
      <c r="AT411" s="16"/>
      <c r="AV411" s="16"/>
    </row>
    <row r="412" spans="3:48" ht="12.75">
      <c r="C412" s="16"/>
      <c r="E412" s="16"/>
      <c r="G412" s="16"/>
      <c r="I412" s="16"/>
      <c r="K412" s="16"/>
      <c r="M412" s="16"/>
      <c r="O412" s="16"/>
      <c r="Q412" s="16"/>
      <c r="R412" s="16"/>
      <c r="T412" s="16"/>
      <c r="V412" s="16"/>
      <c r="X412" s="16"/>
      <c r="Z412" s="16"/>
      <c r="AB412" s="16"/>
      <c r="AD412" s="16"/>
      <c r="AF412" s="16"/>
      <c r="AH412" s="16"/>
      <c r="AJ412" s="16"/>
      <c r="AL412" s="16"/>
      <c r="AN412" s="16"/>
      <c r="AP412" s="16"/>
      <c r="AR412" s="16"/>
      <c r="AT412" s="16"/>
      <c r="AV412" s="16"/>
    </row>
    <row r="413" spans="3:48" ht="12.75">
      <c r="C413" s="16"/>
      <c r="E413" s="16"/>
      <c r="G413" s="16"/>
      <c r="I413" s="16"/>
      <c r="K413" s="16"/>
      <c r="M413" s="16"/>
      <c r="O413" s="16"/>
      <c r="Q413" s="16"/>
      <c r="R413" s="16"/>
      <c r="T413" s="16"/>
      <c r="V413" s="16"/>
      <c r="X413" s="16"/>
      <c r="Z413" s="16"/>
      <c r="AB413" s="16"/>
      <c r="AD413" s="16"/>
      <c r="AF413" s="16"/>
      <c r="AH413" s="16"/>
      <c r="AJ413" s="16"/>
      <c r="AL413" s="16"/>
      <c r="AN413" s="16"/>
      <c r="AP413" s="16"/>
      <c r="AR413" s="16"/>
      <c r="AT413" s="16"/>
      <c r="AV413" s="16"/>
    </row>
    <row r="414" spans="3:48" ht="12.75">
      <c r="C414" s="16"/>
      <c r="E414" s="16"/>
      <c r="G414" s="16"/>
      <c r="I414" s="16"/>
      <c r="K414" s="16"/>
      <c r="M414" s="16"/>
      <c r="O414" s="16"/>
      <c r="Q414" s="16"/>
      <c r="R414" s="16"/>
      <c r="T414" s="16"/>
      <c r="V414" s="16"/>
      <c r="X414" s="16"/>
      <c r="Z414" s="16"/>
      <c r="AB414" s="16"/>
      <c r="AD414" s="16"/>
      <c r="AF414" s="16"/>
      <c r="AH414" s="16"/>
      <c r="AJ414" s="16"/>
      <c r="AL414" s="16"/>
      <c r="AN414" s="16"/>
      <c r="AP414" s="16"/>
      <c r="AR414" s="16"/>
      <c r="AT414" s="16"/>
      <c r="AV414" s="16"/>
    </row>
    <row r="415" spans="3:48" ht="12.75">
      <c r="C415" s="16"/>
      <c r="E415" s="16"/>
      <c r="G415" s="16"/>
      <c r="I415" s="16"/>
      <c r="K415" s="16"/>
      <c r="M415" s="16"/>
      <c r="O415" s="16"/>
      <c r="Q415" s="16"/>
      <c r="R415" s="16"/>
      <c r="T415" s="16"/>
      <c r="V415" s="16"/>
      <c r="X415" s="16"/>
      <c r="Z415" s="16"/>
      <c r="AB415" s="16"/>
      <c r="AD415" s="16"/>
      <c r="AF415" s="16"/>
      <c r="AH415" s="16"/>
      <c r="AJ415" s="16"/>
      <c r="AL415" s="16"/>
      <c r="AN415" s="16"/>
      <c r="AP415" s="16"/>
      <c r="AR415" s="16"/>
      <c r="AT415" s="16"/>
      <c r="AV415" s="16"/>
    </row>
    <row r="416" spans="3:48" ht="12.75">
      <c r="C416" s="16"/>
      <c r="E416" s="16"/>
      <c r="G416" s="16"/>
      <c r="I416" s="16"/>
      <c r="K416" s="16"/>
      <c r="M416" s="16"/>
      <c r="O416" s="16"/>
      <c r="Q416" s="16"/>
      <c r="R416" s="16"/>
      <c r="T416" s="16"/>
      <c r="V416" s="16"/>
      <c r="X416" s="16"/>
      <c r="Z416" s="16"/>
      <c r="AB416" s="16"/>
      <c r="AD416" s="16"/>
      <c r="AF416" s="16"/>
      <c r="AH416" s="16"/>
      <c r="AJ416" s="16"/>
      <c r="AL416" s="16"/>
      <c r="AN416" s="16"/>
      <c r="AP416" s="16"/>
      <c r="AR416" s="16"/>
      <c r="AT416" s="16"/>
      <c r="AV416" s="16"/>
    </row>
    <row r="417" spans="3:48" ht="12.75">
      <c r="C417" s="16"/>
      <c r="E417" s="16"/>
      <c r="G417" s="16"/>
      <c r="I417" s="16"/>
      <c r="K417" s="16"/>
      <c r="M417" s="16"/>
      <c r="O417" s="16"/>
      <c r="Q417" s="16"/>
      <c r="R417" s="16"/>
      <c r="T417" s="16"/>
      <c r="V417" s="16"/>
      <c r="X417" s="16"/>
      <c r="Z417" s="16"/>
      <c r="AB417" s="16"/>
      <c r="AD417" s="16"/>
      <c r="AF417" s="16"/>
      <c r="AH417" s="16"/>
      <c r="AJ417" s="16"/>
      <c r="AL417" s="16"/>
      <c r="AN417" s="16"/>
      <c r="AP417" s="16"/>
      <c r="AR417" s="16"/>
      <c r="AT417" s="16"/>
      <c r="AV417" s="16"/>
    </row>
    <row r="418" spans="3:48" ht="12.75">
      <c r="C418" s="16"/>
      <c r="E418" s="16"/>
      <c r="G418" s="16"/>
      <c r="I418" s="16"/>
      <c r="K418" s="16"/>
      <c r="M418" s="16"/>
      <c r="O418" s="16"/>
      <c r="Q418" s="16"/>
      <c r="R418" s="16"/>
      <c r="T418" s="16"/>
      <c r="V418" s="16"/>
      <c r="X418" s="16"/>
      <c r="Z418" s="16"/>
      <c r="AB418" s="16"/>
      <c r="AD418" s="16"/>
      <c r="AF418" s="16"/>
      <c r="AH418" s="16"/>
      <c r="AJ418" s="16"/>
      <c r="AL418" s="16"/>
      <c r="AN418" s="16"/>
      <c r="AP418" s="16"/>
      <c r="AR418" s="16"/>
      <c r="AT418" s="16"/>
      <c r="AV418" s="16"/>
    </row>
    <row r="419" spans="3:48" ht="12.75">
      <c r="C419" s="16"/>
      <c r="E419" s="16"/>
      <c r="G419" s="16"/>
      <c r="I419" s="16"/>
      <c r="K419" s="16"/>
      <c r="M419" s="16"/>
      <c r="O419" s="16"/>
      <c r="Q419" s="16"/>
      <c r="R419" s="16"/>
      <c r="T419" s="16"/>
      <c r="V419" s="16"/>
      <c r="X419" s="16"/>
      <c r="Z419" s="16"/>
      <c r="AB419" s="16"/>
      <c r="AD419" s="16"/>
      <c r="AF419" s="16"/>
      <c r="AH419" s="16"/>
      <c r="AJ419" s="16"/>
      <c r="AL419" s="16"/>
      <c r="AN419" s="16"/>
      <c r="AP419" s="16"/>
      <c r="AR419" s="16"/>
      <c r="AT419" s="16"/>
      <c r="AV419" s="16"/>
    </row>
    <row r="420" spans="3:48" ht="12.75">
      <c r="C420" s="16"/>
      <c r="E420" s="16"/>
      <c r="G420" s="16"/>
      <c r="I420" s="16"/>
      <c r="K420" s="16"/>
      <c r="M420" s="16"/>
      <c r="O420" s="16"/>
      <c r="Q420" s="16"/>
      <c r="R420" s="16"/>
      <c r="T420" s="16"/>
      <c r="V420" s="16"/>
      <c r="X420" s="16"/>
      <c r="Z420" s="16"/>
      <c r="AB420" s="16"/>
      <c r="AD420" s="16"/>
      <c r="AF420" s="16"/>
      <c r="AH420" s="16"/>
      <c r="AJ420" s="16"/>
      <c r="AL420" s="16"/>
      <c r="AN420" s="16"/>
      <c r="AP420" s="16"/>
      <c r="AR420" s="16"/>
      <c r="AT420" s="16"/>
      <c r="AV420" s="16"/>
    </row>
    <row r="421" spans="3:48" ht="12.75">
      <c r="C421" s="16"/>
      <c r="E421" s="16"/>
      <c r="G421" s="16"/>
      <c r="I421" s="16"/>
      <c r="K421" s="16"/>
      <c r="M421" s="16"/>
      <c r="O421" s="16"/>
      <c r="Q421" s="16"/>
      <c r="R421" s="16"/>
      <c r="T421" s="16"/>
      <c r="V421" s="16"/>
      <c r="X421" s="16"/>
      <c r="Z421" s="16"/>
      <c r="AB421" s="16"/>
      <c r="AD421" s="16"/>
      <c r="AF421" s="16"/>
      <c r="AH421" s="16"/>
      <c r="AJ421" s="16"/>
      <c r="AL421" s="16"/>
      <c r="AN421" s="16"/>
      <c r="AP421" s="16"/>
      <c r="AR421" s="16"/>
      <c r="AT421" s="16"/>
      <c r="AV421" s="16"/>
    </row>
    <row r="422" spans="3:48" ht="12.75">
      <c r="C422" s="16"/>
      <c r="E422" s="16"/>
      <c r="G422" s="16"/>
      <c r="I422" s="16"/>
      <c r="K422" s="16"/>
      <c r="M422" s="16"/>
      <c r="O422" s="16"/>
      <c r="Q422" s="16"/>
      <c r="R422" s="16"/>
      <c r="T422" s="16"/>
      <c r="V422" s="16"/>
      <c r="X422" s="16"/>
      <c r="Z422" s="16"/>
      <c r="AB422" s="16"/>
      <c r="AD422" s="16"/>
      <c r="AF422" s="16"/>
      <c r="AH422" s="16"/>
      <c r="AJ422" s="16"/>
      <c r="AL422" s="16"/>
      <c r="AN422" s="16"/>
      <c r="AP422" s="16"/>
      <c r="AR422" s="16"/>
      <c r="AT422" s="16"/>
      <c r="AV422" s="16"/>
    </row>
    <row r="423" spans="3:48" ht="12.75">
      <c r="C423" s="16"/>
      <c r="E423" s="16"/>
      <c r="G423" s="16"/>
      <c r="I423" s="16"/>
      <c r="K423" s="16"/>
      <c r="M423" s="16"/>
      <c r="O423" s="16"/>
      <c r="Q423" s="16"/>
      <c r="R423" s="16"/>
      <c r="T423" s="16"/>
      <c r="V423" s="16"/>
      <c r="X423" s="16"/>
      <c r="Z423" s="16"/>
      <c r="AB423" s="16"/>
      <c r="AD423" s="16"/>
      <c r="AF423" s="16"/>
      <c r="AH423" s="16"/>
      <c r="AJ423" s="16"/>
      <c r="AL423" s="16"/>
      <c r="AN423" s="16"/>
      <c r="AP423" s="16"/>
      <c r="AR423" s="16"/>
      <c r="AT423" s="16"/>
      <c r="AV423" s="16"/>
    </row>
    <row r="424" spans="3:48" ht="12.75">
      <c r="C424" s="16"/>
      <c r="E424" s="16"/>
      <c r="G424" s="16"/>
      <c r="I424" s="16"/>
      <c r="K424" s="16"/>
      <c r="M424" s="16"/>
      <c r="O424" s="16"/>
      <c r="Q424" s="16"/>
      <c r="R424" s="16"/>
      <c r="T424" s="16"/>
      <c r="V424" s="16"/>
      <c r="X424" s="16"/>
      <c r="Z424" s="16"/>
      <c r="AB424" s="16"/>
      <c r="AD424" s="16"/>
      <c r="AF424" s="16"/>
      <c r="AH424" s="16"/>
      <c r="AJ424" s="16"/>
      <c r="AL424" s="16"/>
      <c r="AN424" s="16"/>
      <c r="AP424" s="16"/>
      <c r="AR424" s="16"/>
      <c r="AT424" s="16"/>
      <c r="AV424" s="16"/>
    </row>
    <row r="425" spans="3:48" ht="12.75">
      <c r="C425" s="16"/>
      <c r="E425" s="16"/>
      <c r="G425" s="16"/>
      <c r="I425" s="16"/>
      <c r="K425" s="16"/>
      <c r="M425" s="16"/>
      <c r="O425" s="16"/>
      <c r="Q425" s="16"/>
      <c r="R425" s="16"/>
      <c r="T425" s="16"/>
      <c r="V425" s="16"/>
      <c r="X425" s="16"/>
      <c r="Z425" s="16"/>
      <c r="AB425" s="16"/>
      <c r="AD425" s="16"/>
      <c r="AF425" s="16"/>
      <c r="AH425" s="16"/>
      <c r="AJ425" s="16"/>
      <c r="AL425" s="16"/>
      <c r="AN425" s="16"/>
      <c r="AP425" s="16"/>
      <c r="AR425" s="16"/>
      <c r="AT425" s="16"/>
      <c r="AV425" s="16"/>
    </row>
    <row r="426" spans="3:48" ht="12.75">
      <c r="C426" s="16"/>
      <c r="E426" s="16"/>
      <c r="G426" s="16"/>
      <c r="I426" s="16"/>
      <c r="K426" s="16"/>
      <c r="M426" s="16"/>
      <c r="O426" s="16"/>
      <c r="Q426" s="16"/>
      <c r="R426" s="16"/>
      <c r="T426" s="16"/>
      <c r="V426" s="16"/>
      <c r="X426" s="16"/>
      <c r="Z426" s="16"/>
      <c r="AB426" s="16"/>
      <c r="AD426" s="16"/>
      <c r="AF426" s="16"/>
      <c r="AH426" s="16"/>
      <c r="AJ426" s="16"/>
      <c r="AL426" s="16"/>
      <c r="AN426" s="16"/>
      <c r="AP426" s="16"/>
      <c r="AR426" s="16"/>
      <c r="AT426" s="16"/>
      <c r="AV426" s="16"/>
    </row>
    <row r="427" spans="3:48" ht="12.75">
      <c r="C427" s="16"/>
      <c r="E427" s="16"/>
      <c r="G427" s="16"/>
      <c r="I427" s="16"/>
      <c r="K427" s="16"/>
      <c r="M427" s="16"/>
      <c r="O427" s="16"/>
      <c r="Q427" s="16"/>
      <c r="R427" s="16"/>
      <c r="T427" s="16"/>
      <c r="V427" s="16"/>
      <c r="X427" s="16"/>
      <c r="Z427" s="16"/>
      <c r="AB427" s="16"/>
      <c r="AD427" s="16"/>
      <c r="AF427" s="16"/>
      <c r="AH427" s="16"/>
      <c r="AJ427" s="16"/>
      <c r="AL427" s="16"/>
      <c r="AN427" s="16"/>
      <c r="AP427" s="16"/>
      <c r="AR427" s="16"/>
      <c r="AT427" s="16"/>
      <c r="AV427" s="16"/>
    </row>
    <row r="428" spans="3:48" ht="12.75">
      <c r="C428" s="16"/>
      <c r="E428" s="16"/>
      <c r="G428" s="16"/>
      <c r="I428" s="16"/>
      <c r="K428" s="16"/>
      <c r="M428" s="16"/>
      <c r="O428" s="16"/>
      <c r="Q428" s="16"/>
      <c r="R428" s="16"/>
      <c r="T428" s="16"/>
      <c r="V428" s="16"/>
      <c r="X428" s="16"/>
      <c r="Z428" s="16"/>
      <c r="AB428" s="16"/>
      <c r="AD428" s="16"/>
      <c r="AF428" s="16"/>
      <c r="AH428" s="16"/>
      <c r="AJ428" s="16"/>
      <c r="AL428" s="16"/>
      <c r="AN428" s="16"/>
      <c r="AP428" s="16"/>
      <c r="AR428" s="16"/>
      <c r="AT428" s="16"/>
      <c r="AV428" s="16"/>
    </row>
    <row r="429" spans="3:48" ht="12.75">
      <c r="C429" s="16"/>
      <c r="E429" s="16"/>
      <c r="G429" s="16"/>
      <c r="I429" s="16"/>
      <c r="K429" s="16"/>
      <c r="M429" s="16"/>
      <c r="O429" s="16"/>
      <c r="Q429" s="16"/>
      <c r="R429" s="16"/>
      <c r="T429" s="16"/>
      <c r="V429" s="16"/>
      <c r="X429" s="16"/>
      <c r="Z429" s="16"/>
      <c r="AB429" s="16"/>
      <c r="AD429" s="16"/>
      <c r="AF429" s="16"/>
      <c r="AH429" s="16"/>
      <c r="AJ429" s="16"/>
      <c r="AL429" s="16"/>
      <c r="AN429" s="16"/>
      <c r="AP429" s="16"/>
      <c r="AR429" s="16"/>
      <c r="AT429" s="16"/>
      <c r="AV429" s="16"/>
    </row>
    <row r="430" spans="3:48" ht="12.75">
      <c r="C430" s="16"/>
      <c r="E430" s="16"/>
      <c r="G430" s="16"/>
      <c r="I430" s="16"/>
      <c r="K430" s="16"/>
      <c r="M430" s="16"/>
      <c r="O430" s="16"/>
      <c r="Q430" s="16"/>
      <c r="R430" s="16"/>
      <c r="T430" s="16"/>
      <c r="V430" s="16"/>
      <c r="X430" s="16"/>
      <c r="Z430" s="16"/>
      <c r="AB430" s="16"/>
      <c r="AD430" s="16"/>
      <c r="AF430" s="16"/>
      <c r="AH430" s="16"/>
      <c r="AJ430" s="16"/>
      <c r="AL430" s="16"/>
      <c r="AN430" s="16"/>
      <c r="AP430" s="16"/>
      <c r="AR430" s="16"/>
      <c r="AT430" s="16"/>
      <c r="AV430" s="16"/>
    </row>
    <row r="431" spans="3:48" ht="12.75">
      <c r="C431" s="16"/>
      <c r="E431" s="16"/>
      <c r="G431" s="16"/>
      <c r="I431" s="16"/>
      <c r="K431" s="16"/>
      <c r="M431" s="16"/>
      <c r="O431" s="16"/>
      <c r="Q431" s="16"/>
      <c r="R431" s="16"/>
      <c r="T431" s="16"/>
      <c r="V431" s="16"/>
      <c r="X431" s="16"/>
      <c r="Z431" s="16"/>
      <c r="AB431" s="16"/>
      <c r="AD431" s="16"/>
      <c r="AF431" s="16"/>
      <c r="AH431" s="16"/>
      <c r="AJ431" s="16"/>
      <c r="AL431" s="16"/>
      <c r="AN431" s="16"/>
      <c r="AP431" s="16"/>
      <c r="AR431" s="16"/>
      <c r="AT431" s="16"/>
      <c r="AV431" s="16"/>
    </row>
    <row r="432" spans="3:48" ht="12.75">
      <c r="C432" s="16"/>
      <c r="E432" s="16"/>
      <c r="G432" s="16"/>
      <c r="I432" s="16"/>
      <c r="K432" s="16"/>
      <c r="M432" s="16"/>
      <c r="O432" s="16"/>
      <c r="Q432" s="16"/>
      <c r="R432" s="16"/>
      <c r="T432" s="16"/>
      <c r="V432" s="16"/>
      <c r="X432" s="16"/>
      <c r="Z432" s="16"/>
      <c r="AB432" s="16"/>
      <c r="AD432" s="16"/>
      <c r="AF432" s="16"/>
      <c r="AH432" s="16"/>
      <c r="AJ432" s="16"/>
      <c r="AL432" s="16"/>
      <c r="AN432" s="16"/>
      <c r="AP432" s="16"/>
      <c r="AR432" s="16"/>
      <c r="AT432" s="16"/>
      <c r="AV432" s="16"/>
    </row>
    <row r="433" spans="3:48" ht="12.75">
      <c r="C433" s="16"/>
      <c r="E433" s="16"/>
      <c r="G433" s="16"/>
      <c r="I433" s="16"/>
      <c r="K433" s="16"/>
      <c r="M433" s="16"/>
      <c r="O433" s="16"/>
      <c r="Q433" s="16"/>
      <c r="R433" s="16"/>
      <c r="T433" s="16"/>
      <c r="V433" s="16"/>
      <c r="X433" s="16"/>
      <c r="Z433" s="16"/>
      <c r="AB433" s="16"/>
      <c r="AD433" s="16"/>
      <c r="AF433" s="16"/>
      <c r="AH433" s="16"/>
      <c r="AJ433" s="16"/>
      <c r="AL433" s="16"/>
      <c r="AN433" s="16"/>
      <c r="AP433" s="16"/>
      <c r="AR433" s="16"/>
      <c r="AT433" s="16"/>
      <c r="AV433" s="16"/>
    </row>
    <row r="434" spans="3:48" ht="12.75">
      <c r="C434" s="16"/>
      <c r="E434" s="16"/>
      <c r="G434" s="16"/>
      <c r="I434" s="16"/>
      <c r="K434" s="16"/>
      <c r="M434" s="16"/>
      <c r="O434" s="16"/>
      <c r="Q434" s="16"/>
      <c r="R434" s="16"/>
      <c r="T434" s="16"/>
      <c r="V434" s="16"/>
      <c r="X434" s="16"/>
      <c r="Z434" s="16"/>
      <c r="AB434" s="16"/>
      <c r="AD434" s="16"/>
      <c r="AF434" s="16"/>
      <c r="AH434" s="16"/>
      <c r="AJ434" s="16"/>
      <c r="AL434" s="16"/>
      <c r="AN434" s="16"/>
      <c r="AP434" s="16"/>
      <c r="AR434" s="16"/>
      <c r="AT434" s="16"/>
      <c r="AV434" s="16"/>
    </row>
    <row r="435" spans="3:48" ht="12.75">
      <c r="C435" s="16"/>
      <c r="E435" s="16"/>
      <c r="G435" s="16"/>
      <c r="I435" s="16"/>
      <c r="K435" s="16"/>
      <c r="M435" s="16"/>
      <c r="O435" s="16"/>
      <c r="Q435" s="16"/>
      <c r="R435" s="16"/>
      <c r="T435" s="16"/>
      <c r="V435" s="16"/>
      <c r="X435" s="16"/>
      <c r="Z435" s="16"/>
      <c r="AB435" s="16"/>
      <c r="AD435" s="16"/>
      <c r="AF435" s="16"/>
      <c r="AH435" s="16"/>
      <c r="AJ435" s="16"/>
      <c r="AL435" s="16"/>
      <c r="AN435" s="16"/>
      <c r="AP435" s="16"/>
      <c r="AR435" s="16"/>
      <c r="AT435" s="16"/>
      <c r="AV435" s="16"/>
    </row>
    <row r="436" spans="3:48" ht="12.75">
      <c r="C436" s="16"/>
      <c r="E436" s="16"/>
      <c r="G436" s="16"/>
      <c r="I436" s="16"/>
      <c r="K436" s="16"/>
      <c r="M436" s="16"/>
      <c r="O436" s="16"/>
      <c r="Q436" s="16"/>
      <c r="R436" s="16"/>
      <c r="T436" s="16"/>
      <c r="V436" s="16"/>
      <c r="X436" s="16"/>
      <c r="Z436" s="16"/>
      <c r="AB436" s="16"/>
      <c r="AD436" s="16"/>
      <c r="AF436" s="16"/>
      <c r="AH436" s="16"/>
      <c r="AJ436" s="16"/>
      <c r="AL436" s="16"/>
      <c r="AN436" s="16"/>
      <c r="AP436" s="16"/>
      <c r="AR436" s="16"/>
      <c r="AT436" s="16"/>
      <c r="AV436" s="16"/>
    </row>
    <row r="437" spans="3:48" ht="12.75">
      <c r="C437" s="16"/>
      <c r="E437" s="16"/>
      <c r="G437" s="16"/>
      <c r="I437" s="16"/>
      <c r="K437" s="16"/>
      <c r="M437" s="16"/>
      <c r="O437" s="16"/>
      <c r="Q437" s="16"/>
      <c r="R437" s="16"/>
      <c r="T437" s="16"/>
      <c r="V437" s="16"/>
      <c r="X437" s="16"/>
      <c r="Z437" s="16"/>
      <c r="AB437" s="16"/>
      <c r="AD437" s="16"/>
      <c r="AF437" s="16"/>
      <c r="AH437" s="16"/>
      <c r="AJ437" s="16"/>
      <c r="AL437" s="16"/>
      <c r="AN437" s="16"/>
      <c r="AP437" s="16"/>
      <c r="AR437" s="16"/>
      <c r="AT437" s="16"/>
      <c r="AV437" s="16"/>
    </row>
    <row r="438" spans="3:48" ht="12.75">
      <c r="C438" s="16"/>
      <c r="E438" s="16"/>
      <c r="G438" s="16"/>
      <c r="I438" s="16"/>
      <c r="K438" s="16"/>
      <c r="M438" s="16"/>
      <c r="O438" s="16"/>
      <c r="Q438" s="16"/>
      <c r="R438" s="16"/>
      <c r="T438" s="16"/>
      <c r="V438" s="16"/>
      <c r="X438" s="16"/>
      <c r="Z438" s="16"/>
      <c r="AB438" s="16"/>
      <c r="AD438" s="16"/>
      <c r="AF438" s="16"/>
      <c r="AH438" s="16"/>
      <c r="AJ438" s="16"/>
      <c r="AL438" s="16"/>
      <c r="AN438" s="16"/>
      <c r="AP438" s="16"/>
      <c r="AR438" s="16"/>
      <c r="AT438" s="16"/>
      <c r="AV438" s="16"/>
    </row>
    <row r="439" spans="3:48" ht="12.75">
      <c r="C439" s="16"/>
      <c r="E439" s="16"/>
      <c r="G439" s="16"/>
      <c r="I439" s="16"/>
      <c r="K439" s="16"/>
      <c r="M439" s="16"/>
      <c r="O439" s="16"/>
      <c r="Q439" s="16"/>
      <c r="R439" s="16"/>
      <c r="T439" s="16"/>
      <c r="V439" s="16"/>
      <c r="X439" s="16"/>
      <c r="Z439" s="16"/>
      <c r="AB439" s="16"/>
      <c r="AD439" s="16"/>
      <c r="AF439" s="16"/>
      <c r="AH439" s="16"/>
      <c r="AJ439" s="16"/>
      <c r="AL439" s="16"/>
      <c r="AN439" s="16"/>
      <c r="AP439" s="16"/>
      <c r="AR439" s="16"/>
      <c r="AT439" s="16"/>
      <c r="AV439" s="16"/>
    </row>
    <row r="440" spans="3:48" ht="12.75">
      <c r="C440" s="16"/>
      <c r="E440" s="16"/>
      <c r="G440" s="16"/>
      <c r="I440" s="16"/>
      <c r="K440" s="16"/>
      <c r="M440" s="16"/>
      <c r="O440" s="16"/>
      <c r="Q440" s="16"/>
      <c r="R440" s="16"/>
      <c r="T440" s="16"/>
      <c r="V440" s="16"/>
      <c r="X440" s="16"/>
      <c r="Z440" s="16"/>
      <c r="AB440" s="16"/>
      <c r="AD440" s="16"/>
      <c r="AF440" s="16"/>
      <c r="AH440" s="16"/>
      <c r="AJ440" s="16"/>
      <c r="AL440" s="16"/>
      <c r="AN440" s="16"/>
      <c r="AP440" s="16"/>
      <c r="AR440" s="16"/>
      <c r="AT440" s="16"/>
      <c r="AV440" s="16"/>
    </row>
    <row r="441" spans="3:48" ht="12.75">
      <c r="C441" s="16"/>
      <c r="E441" s="16"/>
      <c r="G441" s="16"/>
      <c r="I441" s="16"/>
      <c r="K441" s="16"/>
      <c r="M441" s="16"/>
      <c r="O441" s="16"/>
      <c r="Q441" s="16"/>
      <c r="R441" s="16"/>
      <c r="T441" s="16"/>
      <c r="V441" s="16"/>
      <c r="X441" s="16"/>
      <c r="Z441" s="16"/>
      <c r="AB441" s="16"/>
      <c r="AD441" s="16"/>
      <c r="AF441" s="16"/>
      <c r="AH441" s="16"/>
      <c r="AJ441" s="16"/>
      <c r="AL441" s="16"/>
      <c r="AN441" s="16"/>
      <c r="AP441" s="16"/>
      <c r="AR441" s="16"/>
      <c r="AT441" s="16"/>
      <c r="AV441" s="16"/>
    </row>
    <row r="442" spans="3:48" ht="12.75">
      <c r="C442" s="16"/>
      <c r="E442" s="16"/>
      <c r="G442" s="16"/>
      <c r="I442" s="16"/>
      <c r="K442" s="16"/>
      <c r="M442" s="16"/>
      <c r="O442" s="16"/>
      <c r="Q442" s="16"/>
      <c r="R442" s="16"/>
      <c r="T442" s="16"/>
      <c r="V442" s="16"/>
      <c r="X442" s="16"/>
      <c r="Z442" s="16"/>
      <c r="AB442" s="16"/>
      <c r="AD442" s="16"/>
      <c r="AF442" s="16"/>
      <c r="AH442" s="16"/>
      <c r="AJ442" s="16"/>
      <c r="AL442" s="16"/>
      <c r="AN442" s="16"/>
      <c r="AP442" s="16"/>
      <c r="AR442" s="16"/>
      <c r="AT442" s="16"/>
      <c r="AV442" s="16"/>
    </row>
    <row r="443" spans="3:48" ht="12.75">
      <c r="C443" s="16"/>
      <c r="E443" s="16"/>
      <c r="G443" s="16"/>
      <c r="I443" s="16"/>
      <c r="K443" s="16"/>
      <c r="M443" s="16"/>
      <c r="O443" s="16"/>
      <c r="Q443" s="16"/>
      <c r="R443" s="16"/>
      <c r="T443" s="16"/>
      <c r="V443" s="16"/>
      <c r="X443" s="16"/>
      <c r="Z443" s="16"/>
      <c r="AB443" s="16"/>
      <c r="AD443" s="16"/>
      <c r="AF443" s="16"/>
      <c r="AH443" s="16"/>
      <c r="AJ443" s="16"/>
      <c r="AL443" s="16"/>
      <c r="AN443" s="16"/>
      <c r="AP443" s="16"/>
      <c r="AR443" s="16"/>
      <c r="AT443" s="16"/>
      <c r="AV443" s="16"/>
    </row>
    <row r="444" spans="3:48" ht="12.75">
      <c r="C444" s="16"/>
      <c r="E444" s="16"/>
      <c r="G444" s="16"/>
      <c r="I444" s="16"/>
      <c r="K444" s="16"/>
      <c r="M444" s="16"/>
      <c r="O444" s="16"/>
      <c r="Q444" s="16"/>
      <c r="R444" s="16"/>
      <c r="T444" s="16"/>
      <c r="V444" s="16"/>
      <c r="X444" s="16"/>
      <c r="Z444" s="16"/>
      <c r="AB444" s="16"/>
      <c r="AD444" s="16"/>
      <c r="AF444" s="16"/>
      <c r="AH444" s="16"/>
      <c r="AJ444" s="16"/>
      <c r="AL444" s="16"/>
      <c r="AN444" s="16"/>
      <c r="AP444" s="16"/>
      <c r="AR444" s="16"/>
      <c r="AT444" s="16"/>
      <c r="AV444" s="16"/>
    </row>
    <row r="445" spans="3:48" ht="12.75">
      <c r="C445" s="16"/>
      <c r="E445" s="16"/>
      <c r="G445" s="16"/>
      <c r="I445" s="16"/>
      <c r="K445" s="16"/>
      <c r="M445" s="16"/>
      <c r="O445" s="16"/>
      <c r="Q445" s="16"/>
      <c r="R445" s="16"/>
      <c r="T445" s="16"/>
      <c r="V445" s="16"/>
      <c r="X445" s="16"/>
      <c r="Z445" s="16"/>
      <c r="AB445" s="16"/>
      <c r="AD445" s="16"/>
      <c r="AF445" s="16"/>
      <c r="AH445" s="16"/>
      <c r="AJ445" s="16"/>
      <c r="AL445" s="16"/>
      <c r="AN445" s="16"/>
      <c r="AP445" s="16"/>
      <c r="AR445" s="16"/>
      <c r="AT445" s="16"/>
      <c r="AV445" s="16"/>
    </row>
    <row r="446" spans="3:48" ht="12.75">
      <c r="C446" s="16"/>
      <c r="E446" s="16"/>
      <c r="G446" s="16"/>
      <c r="I446" s="16"/>
      <c r="K446" s="16"/>
      <c r="M446" s="16"/>
      <c r="O446" s="16"/>
      <c r="Q446" s="16"/>
      <c r="R446" s="16"/>
      <c r="T446" s="16"/>
      <c r="V446" s="16"/>
      <c r="X446" s="16"/>
      <c r="Z446" s="16"/>
      <c r="AB446" s="16"/>
      <c r="AD446" s="16"/>
      <c r="AF446" s="16"/>
      <c r="AH446" s="16"/>
      <c r="AJ446" s="16"/>
      <c r="AL446" s="16"/>
      <c r="AN446" s="16"/>
      <c r="AP446" s="16"/>
      <c r="AR446" s="16"/>
      <c r="AT446" s="16"/>
      <c r="AV446" s="16"/>
    </row>
    <row r="447" spans="3:48" ht="12.75">
      <c r="C447" s="16"/>
      <c r="E447" s="16"/>
      <c r="G447" s="16"/>
      <c r="I447" s="16"/>
      <c r="K447" s="16"/>
      <c r="M447" s="16"/>
      <c r="O447" s="16"/>
      <c r="Q447" s="16"/>
      <c r="R447" s="16"/>
      <c r="T447" s="16"/>
      <c r="V447" s="16"/>
      <c r="X447" s="16"/>
      <c r="Z447" s="16"/>
      <c r="AB447" s="16"/>
      <c r="AD447" s="16"/>
      <c r="AF447" s="16"/>
      <c r="AH447" s="16"/>
      <c r="AJ447" s="16"/>
      <c r="AL447" s="16"/>
      <c r="AN447" s="16"/>
      <c r="AP447" s="16"/>
      <c r="AR447" s="16"/>
      <c r="AT447" s="16"/>
      <c r="AV447" s="16"/>
    </row>
    <row r="448" spans="3:48" ht="12.75">
      <c r="C448" s="16"/>
      <c r="E448" s="16"/>
      <c r="G448" s="16"/>
      <c r="I448" s="16"/>
      <c r="K448" s="16"/>
      <c r="M448" s="16"/>
      <c r="O448" s="16"/>
      <c r="Q448" s="16"/>
      <c r="R448" s="16"/>
      <c r="T448" s="16"/>
      <c r="V448" s="16"/>
      <c r="X448" s="16"/>
      <c r="Z448" s="16"/>
      <c r="AB448" s="16"/>
      <c r="AD448" s="16"/>
      <c r="AF448" s="16"/>
      <c r="AH448" s="16"/>
      <c r="AJ448" s="16"/>
      <c r="AL448" s="16"/>
      <c r="AN448" s="16"/>
      <c r="AP448" s="16"/>
      <c r="AR448" s="16"/>
      <c r="AT448" s="16"/>
      <c r="AV448" s="16"/>
    </row>
    <row r="449" spans="3:48" ht="12.75">
      <c r="C449" s="16"/>
      <c r="E449" s="16"/>
      <c r="G449" s="16"/>
      <c r="I449" s="16"/>
      <c r="K449" s="16"/>
      <c r="M449" s="16"/>
      <c r="O449" s="16"/>
      <c r="Q449" s="16"/>
      <c r="R449" s="16"/>
      <c r="T449" s="16"/>
      <c r="V449" s="16"/>
      <c r="X449" s="16"/>
      <c r="Z449" s="16"/>
      <c r="AB449" s="16"/>
      <c r="AD449" s="16"/>
      <c r="AF449" s="16"/>
      <c r="AH449" s="16"/>
      <c r="AJ449" s="16"/>
      <c r="AL449" s="16"/>
      <c r="AN449" s="16"/>
      <c r="AP449" s="16"/>
      <c r="AR449" s="16"/>
      <c r="AT449" s="16"/>
      <c r="AV449" s="16"/>
    </row>
    <row r="450" spans="3:48" ht="12.75">
      <c r="C450" s="16"/>
      <c r="E450" s="16"/>
      <c r="G450" s="16"/>
      <c r="I450" s="16"/>
      <c r="K450" s="16"/>
      <c r="M450" s="16"/>
      <c r="O450" s="16"/>
      <c r="Q450" s="16"/>
      <c r="R450" s="16"/>
      <c r="T450" s="16"/>
      <c r="V450" s="16"/>
      <c r="X450" s="16"/>
      <c r="Z450" s="16"/>
      <c r="AB450" s="16"/>
      <c r="AD450" s="16"/>
      <c r="AF450" s="16"/>
      <c r="AH450" s="16"/>
      <c r="AJ450" s="16"/>
      <c r="AL450" s="16"/>
      <c r="AN450" s="16"/>
      <c r="AP450" s="16"/>
      <c r="AR450" s="16"/>
      <c r="AT450" s="16"/>
      <c r="AV450" s="16"/>
    </row>
    <row r="451" spans="3:48" ht="12.75">
      <c r="C451" s="16"/>
      <c r="E451" s="16"/>
      <c r="G451" s="16"/>
      <c r="I451" s="16"/>
      <c r="K451" s="16"/>
      <c r="M451" s="16"/>
      <c r="O451" s="16"/>
      <c r="Q451" s="16"/>
      <c r="R451" s="16"/>
      <c r="T451" s="16"/>
      <c r="V451" s="16"/>
      <c r="X451" s="16"/>
      <c r="Z451" s="16"/>
      <c r="AB451" s="16"/>
      <c r="AD451" s="16"/>
      <c r="AF451" s="16"/>
      <c r="AH451" s="16"/>
      <c r="AJ451" s="16"/>
      <c r="AL451" s="16"/>
      <c r="AN451" s="16"/>
      <c r="AP451" s="16"/>
      <c r="AR451" s="16"/>
      <c r="AT451" s="16"/>
      <c r="AV451" s="16"/>
    </row>
    <row r="452" spans="3:48" ht="12.75">
      <c r="C452" s="16"/>
      <c r="E452" s="16"/>
      <c r="G452" s="16"/>
      <c r="I452" s="16"/>
      <c r="K452" s="16"/>
      <c r="M452" s="16"/>
      <c r="O452" s="16"/>
      <c r="Q452" s="16"/>
      <c r="R452" s="16"/>
      <c r="T452" s="16"/>
      <c r="V452" s="16"/>
      <c r="X452" s="16"/>
      <c r="Z452" s="16"/>
      <c r="AB452" s="16"/>
      <c r="AD452" s="16"/>
      <c r="AF452" s="16"/>
      <c r="AH452" s="16"/>
      <c r="AJ452" s="16"/>
      <c r="AL452" s="16"/>
      <c r="AN452" s="16"/>
      <c r="AP452" s="16"/>
      <c r="AR452" s="16"/>
      <c r="AT452" s="16"/>
      <c r="AV452" s="16"/>
    </row>
    <row r="453" spans="3:48" ht="12.75">
      <c r="C453" s="16"/>
      <c r="E453" s="16"/>
      <c r="G453" s="16"/>
      <c r="I453" s="16"/>
      <c r="K453" s="16"/>
      <c r="M453" s="16"/>
      <c r="O453" s="16"/>
      <c r="Q453" s="16"/>
      <c r="R453" s="16"/>
      <c r="T453" s="16"/>
      <c r="V453" s="16"/>
      <c r="X453" s="16"/>
      <c r="Z453" s="16"/>
      <c r="AB453" s="16"/>
      <c r="AD453" s="16"/>
      <c r="AF453" s="16"/>
      <c r="AH453" s="16"/>
      <c r="AJ453" s="16"/>
      <c r="AL453" s="16"/>
      <c r="AN453" s="16"/>
      <c r="AP453" s="16"/>
      <c r="AR453" s="16"/>
      <c r="AT453" s="16"/>
      <c r="AV453" s="16"/>
    </row>
    <row r="454" spans="3:48" ht="12.75">
      <c r="C454" s="16"/>
      <c r="E454" s="16"/>
      <c r="G454" s="16"/>
      <c r="I454" s="16"/>
      <c r="K454" s="16"/>
      <c r="M454" s="16"/>
      <c r="O454" s="16"/>
      <c r="Q454" s="16"/>
      <c r="R454" s="16"/>
      <c r="T454" s="16"/>
      <c r="V454" s="16"/>
      <c r="X454" s="16"/>
      <c r="Z454" s="16"/>
      <c r="AB454" s="16"/>
      <c r="AD454" s="16"/>
      <c r="AF454" s="16"/>
      <c r="AH454" s="16"/>
      <c r="AJ454" s="16"/>
      <c r="AL454" s="16"/>
      <c r="AN454" s="16"/>
      <c r="AP454" s="16"/>
      <c r="AR454" s="16"/>
      <c r="AT454" s="16"/>
      <c r="AV454" s="16"/>
    </row>
    <row r="455" spans="3:48" ht="12.75">
      <c r="C455" s="16"/>
      <c r="E455" s="16"/>
      <c r="G455" s="16"/>
      <c r="I455" s="16"/>
      <c r="K455" s="16"/>
      <c r="M455" s="16"/>
      <c r="O455" s="16"/>
      <c r="Q455" s="16"/>
      <c r="R455" s="16"/>
      <c r="T455" s="16"/>
      <c r="V455" s="16"/>
      <c r="X455" s="16"/>
      <c r="Z455" s="16"/>
      <c r="AB455" s="16"/>
      <c r="AD455" s="16"/>
      <c r="AF455" s="16"/>
      <c r="AH455" s="16"/>
      <c r="AJ455" s="16"/>
      <c r="AL455" s="16"/>
      <c r="AN455" s="16"/>
      <c r="AP455" s="16"/>
      <c r="AR455" s="16"/>
      <c r="AT455" s="16"/>
      <c r="AV455" s="16"/>
    </row>
    <row r="456" spans="3:48" ht="12.75">
      <c r="C456" s="16"/>
      <c r="E456" s="16"/>
      <c r="G456" s="16"/>
      <c r="I456" s="16"/>
      <c r="K456" s="16"/>
      <c r="M456" s="16"/>
      <c r="O456" s="16"/>
      <c r="Q456" s="16"/>
      <c r="R456" s="16"/>
      <c r="T456" s="16"/>
      <c r="V456" s="16"/>
      <c r="X456" s="16"/>
      <c r="Z456" s="16"/>
      <c r="AB456" s="16"/>
      <c r="AD456" s="16"/>
      <c r="AF456" s="16"/>
      <c r="AH456" s="16"/>
      <c r="AJ456" s="16"/>
      <c r="AL456" s="16"/>
      <c r="AN456" s="16"/>
      <c r="AP456" s="16"/>
      <c r="AR456" s="16"/>
      <c r="AT456" s="16"/>
      <c r="AV456" s="16"/>
    </row>
    <row r="457" spans="3:48" ht="12.75">
      <c r="C457" s="16"/>
      <c r="E457" s="16"/>
      <c r="G457" s="16"/>
      <c r="I457" s="16"/>
      <c r="K457" s="16"/>
      <c r="M457" s="16"/>
      <c r="O457" s="16"/>
      <c r="Q457" s="16"/>
      <c r="R457" s="16"/>
      <c r="T457" s="16"/>
      <c r="V457" s="16"/>
      <c r="X457" s="16"/>
      <c r="Z457" s="16"/>
      <c r="AB457" s="16"/>
      <c r="AD457" s="16"/>
      <c r="AF457" s="16"/>
      <c r="AH457" s="16"/>
      <c r="AJ457" s="16"/>
      <c r="AL457" s="16"/>
      <c r="AN457" s="16"/>
      <c r="AP457" s="16"/>
      <c r="AR457" s="16"/>
      <c r="AT457" s="16"/>
      <c r="AV457" s="16"/>
    </row>
    <row r="458" spans="3:48" ht="12.75">
      <c r="C458" s="16"/>
      <c r="E458" s="16"/>
      <c r="G458" s="16"/>
      <c r="I458" s="16"/>
      <c r="K458" s="16"/>
      <c r="M458" s="16"/>
      <c r="O458" s="16"/>
      <c r="Q458" s="16"/>
      <c r="R458" s="16"/>
      <c r="T458" s="16"/>
      <c r="V458" s="16"/>
      <c r="X458" s="16"/>
      <c r="Z458" s="16"/>
      <c r="AB458" s="16"/>
      <c r="AD458" s="16"/>
      <c r="AF458" s="16"/>
      <c r="AH458" s="16"/>
      <c r="AJ458" s="16"/>
      <c r="AL458" s="16"/>
      <c r="AN458" s="16"/>
      <c r="AP458" s="16"/>
      <c r="AR458" s="16"/>
      <c r="AT458" s="16"/>
      <c r="AV458" s="16"/>
    </row>
    <row r="459" spans="3:48" ht="12.75">
      <c r="C459" s="16"/>
      <c r="E459" s="16"/>
      <c r="G459" s="16"/>
      <c r="I459" s="16"/>
      <c r="K459" s="16"/>
      <c r="M459" s="16"/>
      <c r="O459" s="16"/>
      <c r="Q459" s="16"/>
      <c r="R459" s="16"/>
      <c r="T459" s="16"/>
      <c r="V459" s="16"/>
      <c r="X459" s="16"/>
      <c r="Z459" s="16"/>
      <c r="AB459" s="16"/>
      <c r="AD459" s="16"/>
      <c r="AF459" s="16"/>
      <c r="AH459" s="16"/>
      <c r="AJ459" s="16"/>
      <c r="AL459" s="16"/>
      <c r="AN459" s="16"/>
      <c r="AP459" s="16"/>
      <c r="AR459" s="16"/>
      <c r="AT459" s="16"/>
      <c r="AV459" s="16"/>
    </row>
    <row r="460" spans="3:48" ht="12.75">
      <c r="C460" s="16"/>
      <c r="E460" s="16"/>
      <c r="G460" s="16"/>
      <c r="I460" s="16"/>
      <c r="K460" s="16"/>
      <c r="M460" s="16"/>
      <c r="O460" s="16"/>
      <c r="Q460" s="16"/>
      <c r="R460" s="16"/>
      <c r="T460" s="16"/>
      <c r="V460" s="16"/>
      <c r="X460" s="16"/>
      <c r="Z460" s="16"/>
      <c r="AB460" s="16"/>
      <c r="AD460" s="16"/>
      <c r="AF460" s="16"/>
      <c r="AH460" s="16"/>
      <c r="AJ460" s="16"/>
      <c r="AL460" s="16"/>
      <c r="AN460" s="16"/>
      <c r="AP460" s="16"/>
      <c r="AR460" s="16"/>
      <c r="AT460" s="16"/>
      <c r="AV460" s="16"/>
    </row>
    <row r="461" spans="3:48" ht="12.75">
      <c r="C461" s="16"/>
      <c r="E461" s="16"/>
      <c r="G461" s="16"/>
      <c r="I461" s="16"/>
      <c r="K461" s="16"/>
      <c r="M461" s="16"/>
      <c r="O461" s="16"/>
      <c r="Q461" s="16"/>
      <c r="R461" s="16"/>
      <c r="T461" s="16"/>
      <c r="V461" s="16"/>
      <c r="X461" s="16"/>
      <c r="Z461" s="16"/>
      <c r="AB461" s="16"/>
      <c r="AD461" s="16"/>
      <c r="AF461" s="16"/>
      <c r="AH461" s="16"/>
      <c r="AJ461" s="16"/>
      <c r="AL461" s="16"/>
      <c r="AN461" s="16"/>
      <c r="AP461" s="16"/>
      <c r="AR461" s="16"/>
      <c r="AT461" s="16"/>
      <c r="AV461" s="16"/>
    </row>
    <row r="462" spans="3:48" ht="12.75">
      <c r="C462" s="16"/>
      <c r="E462" s="16"/>
      <c r="G462" s="16"/>
      <c r="I462" s="16"/>
      <c r="K462" s="16"/>
      <c r="M462" s="16"/>
      <c r="O462" s="16"/>
      <c r="Q462" s="16"/>
      <c r="R462" s="16"/>
      <c r="T462" s="16"/>
      <c r="V462" s="16"/>
      <c r="X462" s="16"/>
      <c r="Z462" s="16"/>
      <c r="AB462" s="16"/>
      <c r="AD462" s="16"/>
      <c r="AF462" s="16"/>
      <c r="AH462" s="16"/>
      <c r="AJ462" s="16"/>
      <c r="AL462" s="16"/>
      <c r="AN462" s="16"/>
      <c r="AP462" s="16"/>
      <c r="AR462" s="16"/>
      <c r="AT462" s="16"/>
      <c r="AV462" s="16"/>
    </row>
    <row r="463" spans="3:48" ht="12.75">
      <c r="C463" s="16"/>
      <c r="E463" s="16"/>
      <c r="G463" s="16"/>
      <c r="I463" s="16"/>
      <c r="K463" s="16"/>
      <c r="M463" s="16"/>
      <c r="O463" s="16"/>
      <c r="Q463" s="16"/>
      <c r="R463" s="16"/>
      <c r="T463" s="16"/>
      <c r="V463" s="16"/>
      <c r="X463" s="16"/>
      <c r="Z463" s="16"/>
      <c r="AB463" s="16"/>
      <c r="AD463" s="16"/>
      <c r="AF463" s="16"/>
      <c r="AH463" s="16"/>
      <c r="AJ463" s="16"/>
      <c r="AL463" s="16"/>
      <c r="AN463" s="16"/>
      <c r="AP463" s="16"/>
      <c r="AR463" s="16"/>
      <c r="AT463" s="16"/>
      <c r="AV463" s="16"/>
    </row>
    <row r="464" spans="3:48" ht="12.75">
      <c r="C464" s="16"/>
      <c r="E464" s="16"/>
      <c r="G464" s="16"/>
      <c r="I464" s="16"/>
      <c r="K464" s="16"/>
      <c r="M464" s="16"/>
      <c r="O464" s="16"/>
      <c r="Q464" s="16"/>
      <c r="R464" s="16"/>
      <c r="T464" s="16"/>
      <c r="V464" s="16"/>
      <c r="X464" s="16"/>
      <c r="Z464" s="16"/>
      <c r="AB464" s="16"/>
      <c r="AD464" s="16"/>
      <c r="AF464" s="16"/>
      <c r="AH464" s="16"/>
      <c r="AJ464" s="16"/>
      <c r="AL464" s="16"/>
      <c r="AN464" s="16"/>
      <c r="AP464" s="16"/>
      <c r="AR464" s="16"/>
      <c r="AT464" s="16"/>
      <c r="AV464" s="16"/>
    </row>
    <row r="465" spans="3:48" ht="12.75">
      <c r="C465" s="16"/>
      <c r="E465" s="16"/>
      <c r="G465" s="16"/>
      <c r="I465" s="16"/>
      <c r="K465" s="16"/>
      <c r="M465" s="16"/>
      <c r="O465" s="16"/>
      <c r="Q465" s="16"/>
      <c r="R465" s="16"/>
      <c r="T465" s="16"/>
      <c r="V465" s="16"/>
      <c r="X465" s="16"/>
      <c r="Z465" s="16"/>
      <c r="AB465" s="16"/>
      <c r="AD465" s="16"/>
      <c r="AF465" s="16"/>
      <c r="AH465" s="16"/>
      <c r="AJ465" s="16"/>
      <c r="AL465" s="16"/>
      <c r="AN465" s="16"/>
      <c r="AP465" s="16"/>
      <c r="AR465" s="16"/>
      <c r="AT465" s="16"/>
      <c r="AV465" s="16"/>
    </row>
    <row r="466" spans="3:48" ht="12.75">
      <c r="C466" s="16"/>
      <c r="E466" s="16"/>
      <c r="G466" s="16"/>
      <c r="I466" s="16"/>
      <c r="K466" s="16"/>
      <c r="M466" s="16"/>
      <c r="O466" s="16"/>
      <c r="Q466" s="16"/>
      <c r="R466" s="16"/>
      <c r="T466" s="16"/>
      <c r="V466" s="16"/>
      <c r="X466" s="16"/>
      <c r="Z466" s="16"/>
      <c r="AB466" s="16"/>
      <c r="AD466" s="16"/>
      <c r="AF466" s="16"/>
      <c r="AH466" s="16"/>
      <c r="AJ466" s="16"/>
      <c r="AL466" s="16"/>
      <c r="AN466" s="16"/>
      <c r="AP466" s="16"/>
      <c r="AR466" s="16"/>
      <c r="AT466" s="16"/>
      <c r="AV466" s="16"/>
    </row>
    <row r="467" spans="3:48" ht="12.75">
      <c r="C467" s="16"/>
      <c r="E467" s="16"/>
      <c r="G467" s="16"/>
      <c r="I467" s="16"/>
      <c r="K467" s="16"/>
      <c r="M467" s="16"/>
      <c r="O467" s="16"/>
      <c r="Q467" s="16"/>
      <c r="R467" s="16"/>
      <c r="T467" s="16"/>
      <c r="V467" s="16"/>
      <c r="X467" s="16"/>
      <c r="Z467" s="16"/>
      <c r="AB467" s="16"/>
      <c r="AD467" s="16"/>
      <c r="AF467" s="16"/>
      <c r="AH467" s="16"/>
      <c r="AJ467" s="16"/>
      <c r="AL467" s="16"/>
      <c r="AN467" s="16"/>
      <c r="AP467" s="16"/>
      <c r="AR467" s="16"/>
      <c r="AT467" s="16"/>
      <c r="AV467" s="16"/>
    </row>
    <row r="468" spans="3:48" ht="12.75">
      <c r="C468" s="16"/>
      <c r="E468" s="16"/>
      <c r="G468" s="16"/>
      <c r="I468" s="16"/>
      <c r="K468" s="16"/>
      <c r="M468" s="16"/>
      <c r="O468" s="16"/>
      <c r="Q468" s="16"/>
      <c r="R468" s="16"/>
      <c r="T468" s="16"/>
      <c r="V468" s="16"/>
      <c r="X468" s="16"/>
      <c r="Z468" s="16"/>
      <c r="AB468" s="16"/>
      <c r="AD468" s="16"/>
      <c r="AF468" s="16"/>
      <c r="AH468" s="16"/>
      <c r="AJ468" s="16"/>
      <c r="AL468" s="16"/>
      <c r="AN468" s="16"/>
      <c r="AP468" s="16"/>
      <c r="AR468" s="16"/>
      <c r="AT468" s="16"/>
      <c r="AV468" s="16"/>
    </row>
    <row r="469" spans="3:48" ht="12.75">
      <c r="C469" s="16"/>
      <c r="E469" s="16"/>
      <c r="G469" s="16"/>
      <c r="I469" s="16"/>
      <c r="K469" s="16"/>
      <c r="M469" s="16"/>
      <c r="O469" s="16"/>
      <c r="Q469" s="16"/>
      <c r="R469" s="16"/>
      <c r="T469" s="16"/>
      <c r="V469" s="16"/>
      <c r="X469" s="16"/>
      <c r="Z469" s="16"/>
      <c r="AB469" s="16"/>
      <c r="AD469" s="16"/>
      <c r="AF469" s="16"/>
      <c r="AH469" s="16"/>
      <c r="AJ469" s="16"/>
      <c r="AL469" s="16"/>
      <c r="AN469" s="16"/>
      <c r="AP469" s="16"/>
      <c r="AR469" s="16"/>
      <c r="AT469" s="16"/>
      <c r="AV469" s="16"/>
    </row>
    <row r="470" spans="3:48" ht="12.75">
      <c r="C470" s="16"/>
      <c r="E470" s="16"/>
      <c r="G470" s="16"/>
      <c r="I470" s="16"/>
      <c r="K470" s="16"/>
      <c r="M470" s="16"/>
      <c r="O470" s="16"/>
      <c r="Q470" s="16"/>
      <c r="R470" s="16"/>
      <c r="T470" s="16"/>
      <c r="V470" s="16"/>
      <c r="X470" s="16"/>
      <c r="Z470" s="16"/>
      <c r="AB470" s="16"/>
      <c r="AD470" s="16"/>
      <c r="AF470" s="16"/>
      <c r="AH470" s="16"/>
      <c r="AJ470" s="16"/>
      <c r="AL470" s="16"/>
      <c r="AN470" s="16"/>
      <c r="AP470" s="16"/>
      <c r="AR470" s="16"/>
      <c r="AT470" s="16"/>
      <c r="AV470" s="16"/>
    </row>
    <row r="471" spans="3:48" ht="12.75">
      <c r="C471" s="16"/>
      <c r="E471" s="16"/>
      <c r="G471" s="16"/>
      <c r="I471" s="16"/>
      <c r="K471" s="16"/>
      <c r="M471" s="16"/>
      <c r="O471" s="16"/>
      <c r="Q471" s="16"/>
      <c r="R471" s="16"/>
      <c r="T471" s="16"/>
      <c r="V471" s="16"/>
      <c r="X471" s="16"/>
      <c r="Z471" s="16"/>
      <c r="AB471" s="16"/>
      <c r="AD471" s="16"/>
      <c r="AF471" s="16"/>
      <c r="AH471" s="16"/>
      <c r="AJ471" s="16"/>
      <c r="AL471" s="16"/>
      <c r="AN471" s="16"/>
      <c r="AP471" s="16"/>
      <c r="AR471" s="16"/>
      <c r="AT471" s="16"/>
      <c r="AV471" s="16"/>
    </row>
    <row r="472" spans="3:48" ht="12.75">
      <c r="C472" s="16"/>
      <c r="E472" s="16"/>
      <c r="G472" s="16"/>
      <c r="I472" s="16"/>
      <c r="K472" s="16"/>
      <c r="M472" s="16"/>
      <c r="O472" s="16"/>
      <c r="Q472" s="16"/>
      <c r="R472" s="16"/>
      <c r="T472" s="16"/>
      <c r="V472" s="16"/>
      <c r="X472" s="16"/>
      <c r="Z472" s="16"/>
      <c r="AB472" s="16"/>
      <c r="AD472" s="16"/>
      <c r="AF472" s="16"/>
      <c r="AH472" s="16"/>
      <c r="AJ472" s="16"/>
      <c r="AL472" s="16"/>
      <c r="AN472" s="16"/>
      <c r="AP472" s="16"/>
      <c r="AR472" s="16"/>
      <c r="AT472" s="16"/>
      <c r="AV472" s="16"/>
    </row>
    <row r="473" spans="3:48" ht="12.75">
      <c r="C473" s="16"/>
      <c r="E473" s="16"/>
      <c r="G473" s="16"/>
      <c r="I473" s="16"/>
      <c r="K473" s="16"/>
      <c r="M473" s="16"/>
      <c r="O473" s="16"/>
      <c r="Q473" s="16"/>
      <c r="R473" s="16"/>
      <c r="T473" s="16"/>
      <c r="V473" s="16"/>
      <c r="X473" s="16"/>
      <c r="Z473" s="16"/>
      <c r="AB473" s="16"/>
      <c r="AD473" s="16"/>
      <c r="AF473" s="16"/>
      <c r="AH473" s="16"/>
      <c r="AJ473" s="16"/>
      <c r="AL473" s="16"/>
      <c r="AN473" s="16"/>
      <c r="AP473" s="16"/>
      <c r="AR473" s="16"/>
      <c r="AT473" s="16"/>
      <c r="AV473" s="16"/>
    </row>
    <row r="474" spans="3:48" ht="12.75">
      <c r="C474" s="16"/>
      <c r="E474" s="16"/>
      <c r="G474" s="16"/>
      <c r="I474" s="16"/>
      <c r="K474" s="16"/>
      <c r="M474" s="16"/>
      <c r="O474" s="16"/>
      <c r="Q474" s="16"/>
      <c r="R474" s="16"/>
      <c r="T474" s="16"/>
      <c r="V474" s="16"/>
      <c r="X474" s="16"/>
      <c r="Z474" s="16"/>
      <c r="AB474" s="16"/>
      <c r="AD474" s="16"/>
      <c r="AF474" s="16"/>
      <c r="AH474" s="16"/>
      <c r="AJ474" s="16"/>
      <c r="AL474" s="16"/>
      <c r="AN474" s="16"/>
      <c r="AP474" s="16"/>
      <c r="AR474" s="16"/>
      <c r="AT474" s="16"/>
      <c r="AV474" s="16"/>
    </row>
    <row r="475" spans="3:48" ht="12.75">
      <c r="C475" s="16"/>
      <c r="E475" s="16"/>
      <c r="G475" s="16"/>
      <c r="I475" s="16"/>
      <c r="K475" s="16"/>
      <c r="M475" s="16"/>
      <c r="O475" s="16"/>
      <c r="Q475" s="16"/>
      <c r="R475" s="16"/>
      <c r="T475" s="16"/>
      <c r="V475" s="16"/>
      <c r="X475" s="16"/>
      <c r="Z475" s="16"/>
      <c r="AB475" s="16"/>
      <c r="AD475" s="16"/>
      <c r="AF475" s="16"/>
      <c r="AH475" s="16"/>
      <c r="AJ475" s="16"/>
      <c r="AL475" s="16"/>
      <c r="AN475" s="16"/>
      <c r="AP475" s="16"/>
      <c r="AR475" s="16"/>
      <c r="AT475" s="16"/>
      <c r="AV475" s="16"/>
    </row>
    <row r="476" spans="3:48" ht="12.75">
      <c r="C476" s="16"/>
      <c r="E476" s="16"/>
      <c r="G476" s="16"/>
      <c r="I476" s="16"/>
      <c r="K476" s="16"/>
      <c r="M476" s="16"/>
      <c r="O476" s="16"/>
      <c r="Q476" s="16"/>
      <c r="R476" s="16"/>
      <c r="T476" s="16"/>
      <c r="V476" s="16"/>
      <c r="X476" s="16"/>
      <c r="Z476" s="16"/>
      <c r="AB476" s="16"/>
      <c r="AD476" s="16"/>
      <c r="AF476" s="16"/>
      <c r="AH476" s="16"/>
      <c r="AJ476" s="16"/>
      <c r="AL476" s="16"/>
      <c r="AN476" s="16"/>
      <c r="AP476" s="16"/>
      <c r="AR476" s="16"/>
      <c r="AT476" s="16"/>
      <c r="AV476" s="16"/>
    </row>
    <row r="477" spans="3:48" ht="12.75">
      <c r="C477" s="16"/>
      <c r="E477" s="16"/>
      <c r="G477" s="16"/>
      <c r="I477" s="16"/>
      <c r="K477" s="16"/>
      <c r="M477" s="16"/>
      <c r="O477" s="16"/>
      <c r="Q477" s="16"/>
      <c r="R477" s="16"/>
      <c r="T477" s="16"/>
      <c r="V477" s="16"/>
      <c r="X477" s="16"/>
      <c r="Z477" s="16"/>
      <c r="AB477" s="16"/>
      <c r="AD477" s="16"/>
      <c r="AF477" s="16"/>
      <c r="AH477" s="16"/>
      <c r="AJ477" s="16"/>
      <c r="AL477" s="16"/>
      <c r="AN477" s="16"/>
      <c r="AP477" s="16"/>
      <c r="AR477" s="16"/>
      <c r="AT477" s="16"/>
      <c r="AV477" s="16"/>
    </row>
    <row r="478" spans="3:48" ht="12.75">
      <c r="C478" s="16"/>
      <c r="E478" s="16"/>
      <c r="G478" s="16"/>
      <c r="I478" s="16"/>
      <c r="K478" s="16"/>
      <c r="M478" s="16"/>
      <c r="O478" s="16"/>
      <c r="Q478" s="16"/>
      <c r="R478" s="16"/>
      <c r="T478" s="16"/>
      <c r="V478" s="16"/>
      <c r="X478" s="16"/>
      <c r="Z478" s="16"/>
      <c r="AB478" s="16"/>
      <c r="AD478" s="16"/>
      <c r="AF478" s="16"/>
      <c r="AH478" s="16"/>
      <c r="AJ478" s="16"/>
      <c r="AL478" s="16"/>
      <c r="AN478" s="16"/>
      <c r="AP478" s="16"/>
      <c r="AR478" s="16"/>
      <c r="AT478" s="16"/>
      <c r="AV478" s="16"/>
    </row>
    <row r="479" spans="3:48" ht="12.75">
      <c r="C479" s="16"/>
      <c r="E479" s="16"/>
      <c r="G479" s="16"/>
      <c r="I479" s="16"/>
      <c r="K479" s="16"/>
      <c r="M479" s="16"/>
      <c r="O479" s="16"/>
      <c r="Q479" s="16"/>
      <c r="R479" s="16"/>
      <c r="T479" s="16"/>
      <c r="V479" s="16"/>
      <c r="X479" s="16"/>
      <c r="Z479" s="16"/>
      <c r="AB479" s="16"/>
      <c r="AD479" s="16"/>
      <c r="AF479" s="16"/>
      <c r="AH479" s="16"/>
      <c r="AJ479" s="16"/>
      <c r="AL479" s="16"/>
      <c r="AN479" s="16"/>
      <c r="AP479" s="16"/>
      <c r="AR479" s="16"/>
      <c r="AT479" s="16"/>
      <c r="AV479" s="16"/>
    </row>
    <row r="480" spans="3:48" ht="12.75">
      <c r="C480" s="16"/>
      <c r="E480" s="16"/>
      <c r="G480" s="16"/>
      <c r="I480" s="16"/>
      <c r="K480" s="16"/>
      <c r="M480" s="16"/>
      <c r="O480" s="16"/>
      <c r="Q480" s="16"/>
      <c r="R480" s="16"/>
      <c r="T480" s="16"/>
      <c r="V480" s="16"/>
      <c r="X480" s="16"/>
      <c r="Z480" s="16"/>
      <c r="AB480" s="16"/>
      <c r="AD480" s="16"/>
      <c r="AF480" s="16"/>
      <c r="AH480" s="16"/>
      <c r="AJ480" s="16"/>
      <c r="AL480" s="16"/>
      <c r="AN480" s="16"/>
      <c r="AP480" s="16"/>
      <c r="AR480" s="16"/>
      <c r="AT480" s="16"/>
      <c r="AV480" s="16"/>
    </row>
    <row r="481" spans="3:48" ht="12.75">
      <c r="C481" s="16"/>
      <c r="E481" s="16"/>
      <c r="G481" s="16"/>
      <c r="I481" s="16"/>
      <c r="K481" s="16"/>
      <c r="M481" s="16"/>
      <c r="O481" s="16"/>
      <c r="Q481" s="16"/>
      <c r="R481" s="16"/>
      <c r="T481" s="16"/>
      <c r="V481" s="16"/>
      <c r="X481" s="16"/>
      <c r="Z481" s="16"/>
      <c r="AB481" s="16"/>
      <c r="AD481" s="16"/>
      <c r="AF481" s="16"/>
      <c r="AH481" s="16"/>
      <c r="AJ481" s="16"/>
      <c r="AL481" s="16"/>
      <c r="AN481" s="16"/>
      <c r="AP481" s="16"/>
      <c r="AR481" s="16"/>
      <c r="AT481" s="16"/>
      <c r="AV481" s="16"/>
    </row>
    <row r="482" spans="3:48" ht="12.75">
      <c r="C482" s="16"/>
      <c r="E482" s="16"/>
      <c r="G482" s="16"/>
      <c r="I482" s="16"/>
      <c r="K482" s="16"/>
      <c r="M482" s="16"/>
      <c r="O482" s="16"/>
      <c r="Q482" s="16"/>
      <c r="R482" s="16"/>
      <c r="T482" s="16"/>
      <c r="V482" s="16"/>
      <c r="X482" s="16"/>
      <c r="Z482" s="16"/>
      <c r="AB482" s="16"/>
      <c r="AD482" s="16"/>
      <c r="AF482" s="16"/>
      <c r="AH482" s="16"/>
      <c r="AJ482" s="16"/>
      <c r="AL482" s="16"/>
      <c r="AN482" s="16"/>
      <c r="AP482" s="16"/>
      <c r="AR482" s="16"/>
      <c r="AT482" s="16"/>
      <c r="AV482" s="16"/>
    </row>
    <row r="483" spans="3:48" ht="12.75">
      <c r="C483" s="16"/>
      <c r="E483" s="16"/>
      <c r="G483" s="16"/>
      <c r="I483" s="16"/>
      <c r="K483" s="16"/>
      <c r="M483" s="16"/>
      <c r="O483" s="16"/>
      <c r="Q483" s="16"/>
      <c r="R483" s="16"/>
      <c r="T483" s="16"/>
      <c r="V483" s="16"/>
      <c r="X483" s="16"/>
      <c r="Z483" s="16"/>
      <c r="AB483" s="16"/>
      <c r="AD483" s="16"/>
      <c r="AF483" s="16"/>
      <c r="AH483" s="16"/>
      <c r="AJ483" s="16"/>
      <c r="AL483" s="16"/>
      <c r="AN483" s="16"/>
      <c r="AP483" s="16"/>
      <c r="AR483" s="16"/>
      <c r="AT483" s="16"/>
      <c r="AV483" s="16"/>
    </row>
    <row r="484" spans="3:48" ht="12.75">
      <c r="C484" s="16"/>
      <c r="E484" s="16"/>
      <c r="G484" s="16"/>
      <c r="I484" s="16"/>
      <c r="K484" s="16"/>
      <c r="M484" s="16"/>
      <c r="O484" s="16"/>
      <c r="Q484" s="16"/>
      <c r="R484" s="16"/>
      <c r="T484" s="16"/>
      <c r="V484" s="16"/>
      <c r="X484" s="16"/>
      <c r="Z484" s="16"/>
      <c r="AB484" s="16"/>
      <c r="AD484" s="16"/>
      <c r="AF484" s="16"/>
      <c r="AH484" s="16"/>
      <c r="AJ484" s="16"/>
      <c r="AL484" s="16"/>
      <c r="AN484" s="16"/>
      <c r="AP484" s="16"/>
      <c r="AR484" s="16"/>
      <c r="AT484" s="16"/>
      <c r="AV484" s="16"/>
    </row>
    <row r="485" spans="3:48" ht="12.75">
      <c r="C485" s="16"/>
      <c r="E485" s="16"/>
      <c r="G485" s="16"/>
      <c r="I485" s="16"/>
      <c r="K485" s="16"/>
      <c r="M485" s="16"/>
      <c r="O485" s="16"/>
      <c r="Q485" s="16"/>
      <c r="R485" s="16"/>
      <c r="T485" s="16"/>
      <c r="V485" s="16"/>
      <c r="X485" s="16"/>
      <c r="Z485" s="16"/>
      <c r="AB485" s="16"/>
      <c r="AD485" s="16"/>
      <c r="AF485" s="16"/>
      <c r="AH485" s="16"/>
      <c r="AJ485" s="16"/>
      <c r="AL485" s="16"/>
      <c r="AN485" s="16"/>
      <c r="AP485" s="16"/>
      <c r="AR485" s="16"/>
      <c r="AT485" s="16"/>
      <c r="AV485" s="16"/>
    </row>
    <row r="486" spans="3:48" ht="12.75">
      <c r="C486" s="16"/>
      <c r="E486" s="16"/>
      <c r="G486" s="16"/>
      <c r="I486" s="16"/>
      <c r="K486" s="16"/>
      <c r="M486" s="16"/>
      <c r="O486" s="16"/>
      <c r="Q486" s="16"/>
      <c r="R486" s="16"/>
      <c r="T486" s="16"/>
      <c r="V486" s="16"/>
      <c r="X486" s="16"/>
      <c r="Z486" s="16"/>
      <c r="AB486" s="16"/>
      <c r="AD486" s="16"/>
      <c r="AF486" s="16"/>
      <c r="AH486" s="16"/>
      <c r="AJ486" s="16"/>
      <c r="AL486" s="16"/>
      <c r="AN486" s="16"/>
      <c r="AP486" s="16"/>
      <c r="AR486" s="16"/>
      <c r="AT486" s="16"/>
      <c r="AV486" s="16"/>
    </row>
    <row r="487" spans="3:48" ht="12.75">
      <c r="C487" s="16"/>
      <c r="E487" s="16"/>
      <c r="G487" s="16"/>
      <c r="I487" s="16"/>
      <c r="K487" s="16"/>
      <c r="M487" s="16"/>
      <c r="O487" s="16"/>
      <c r="Q487" s="16"/>
      <c r="R487" s="16"/>
      <c r="T487" s="16"/>
      <c r="V487" s="16"/>
      <c r="X487" s="16"/>
      <c r="Z487" s="16"/>
      <c r="AB487" s="16"/>
      <c r="AD487" s="16"/>
      <c r="AF487" s="16"/>
      <c r="AH487" s="16"/>
      <c r="AJ487" s="16"/>
      <c r="AL487" s="16"/>
      <c r="AN487" s="16"/>
      <c r="AP487" s="16"/>
      <c r="AR487" s="16"/>
      <c r="AT487" s="16"/>
      <c r="AV487" s="16"/>
    </row>
    <row r="488" spans="3:48" ht="12.75">
      <c r="C488" s="16"/>
      <c r="E488" s="16"/>
      <c r="G488" s="16"/>
      <c r="I488" s="16"/>
      <c r="K488" s="16"/>
      <c r="M488" s="16"/>
      <c r="O488" s="16"/>
      <c r="Q488" s="16"/>
      <c r="R488" s="16"/>
      <c r="T488" s="16"/>
      <c r="V488" s="16"/>
      <c r="X488" s="16"/>
      <c r="Z488" s="16"/>
      <c r="AB488" s="16"/>
      <c r="AD488" s="16"/>
      <c r="AF488" s="16"/>
      <c r="AH488" s="16"/>
      <c r="AJ488" s="16"/>
      <c r="AL488" s="16"/>
      <c r="AN488" s="16"/>
      <c r="AP488" s="16"/>
      <c r="AR488" s="16"/>
      <c r="AT488" s="16"/>
      <c r="AV488" s="16"/>
    </row>
    <row r="489" spans="3:48" ht="12.75">
      <c r="C489" s="16"/>
      <c r="E489" s="16"/>
      <c r="G489" s="16"/>
      <c r="I489" s="16"/>
      <c r="K489" s="16"/>
      <c r="M489" s="16"/>
      <c r="O489" s="16"/>
      <c r="Q489" s="16"/>
      <c r="R489" s="16"/>
      <c r="T489" s="16"/>
      <c r="V489" s="16"/>
      <c r="X489" s="16"/>
      <c r="Z489" s="16"/>
      <c r="AB489" s="16"/>
      <c r="AD489" s="16"/>
      <c r="AF489" s="16"/>
      <c r="AH489" s="16"/>
      <c r="AJ489" s="16"/>
      <c r="AL489" s="16"/>
      <c r="AN489" s="16"/>
      <c r="AP489" s="16"/>
      <c r="AR489" s="16"/>
      <c r="AT489" s="16"/>
      <c r="AV489" s="16"/>
    </row>
    <row r="490" spans="3:48" ht="12.75">
      <c r="C490" s="16"/>
      <c r="E490" s="16"/>
      <c r="G490" s="16"/>
      <c r="I490" s="16"/>
      <c r="K490" s="16"/>
      <c r="M490" s="16"/>
      <c r="O490" s="16"/>
      <c r="Q490" s="16"/>
      <c r="R490" s="16"/>
      <c r="T490" s="16"/>
      <c r="V490" s="16"/>
      <c r="X490" s="16"/>
      <c r="Z490" s="16"/>
      <c r="AB490" s="16"/>
      <c r="AD490" s="16"/>
      <c r="AF490" s="16"/>
      <c r="AH490" s="16"/>
      <c r="AJ490" s="16"/>
      <c r="AL490" s="16"/>
      <c r="AN490" s="16"/>
      <c r="AP490" s="16"/>
      <c r="AR490" s="16"/>
      <c r="AT490" s="16"/>
      <c r="AV490" s="16"/>
    </row>
    <row r="491" spans="3:48" ht="12.75">
      <c r="C491" s="16"/>
      <c r="E491" s="16"/>
      <c r="G491" s="16"/>
      <c r="I491" s="16"/>
      <c r="K491" s="16"/>
      <c r="M491" s="16"/>
      <c r="O491" s="16"/>
      <c r="Q491" s="16"/>
      <c r="R491" s="16"/>
      <c r="T491" s="16"/>
      <c r="V491" s="16"/>
      <c r="X491" s="16"/>
      <c r="Z491" s="16"/>
      <c r="AB491" s="16"/>
      <c r="AD491" s="16"/>
      <c r="AF491" s="16"/>
      <c r="AH491" s="16"/>
      <c r="AJ491" s="16"/>
      <c r="AL491" s="16"/>
      <c r="AN491" s="16"/>
      <c r="AP491" s="16"/>
      <c r="AR491" s="16"/>
      <c r="AT491" s="16"/>
      <c r="AV491" s="16"/>
    </row>
    <row r="492" spans="3:48" ht="12.75">
      <c r="C492" s="16"/>
      <c r="E492" s="16"/>
      <c r="G492" s="16"/>
      <c r="I492" s="16"/>
      <c r="K492" s="16"/>
      <c r="M492" s="16"/>
      <c r="O492" s="16"/>
      <c r="Q492" s="16"/>
      <c r="R492" s="16"/>
      <c r="T492" s="16"/>
      <c r="V492" s="16"/>
      <c r="X492" s="16"/>
      <c r="Z492" s="16"/>
      <c r="AB492" s="16"/>
      <c r="AD492" s="16"/>
      <c r="AF492" s="16"/>
      <c r="AH492" s="16"/>
      <c r="AJ492" s="16"/>
      <c r="AL492" s="16"/>
      <c r="AN492" s="16"/>
      <c r="AP492" s="16"/>
      <c r="AR492" s="16"/>
      <c r="AT492" s="16"/>
      <c r="AV492" s="16"/>
    </row>
    <row r="493" spans="3:48" ht="12.75">
      <c r="C493" s="16"/>
      <c r="E493" s="16"/>
      <c r="G493" s="16"/>
      <c r="I493" s="16"/>
      <c r="K493" s="16"/>
      <c r="M493" s="16"/>
      <c r="O493" s="16"/>
      <c r="Q493" s="16"/>
      <c r="R493" s="16"/>
      <c r="T493" s="16"/>
      <c r="V493" s="16"/>
      <c r="X493" s="16"/>
      <c r="Z493" s="16"/>
      <c r="AB493" s="16"/>
      <c r="AD493" s="16"/>
      <c r="AF493" s="16"/>
      <c r="AH493" s="16"/>
      <c r="AJ493" s="16"/>
      <c r="AL493" s="16"/>
      <c r="AN493" s="16"/>
      <c r="AP493" s="16"/>
      <c r="AR493" s="16"/>
      <c r="AT493" s="16"/>
      <c r="AV493" s="16"/>
    </row>
    <row r="494" spans="3:48" ht="12.75">
      <c r="C494" s="16"/>
      <c r="E494" s="16"/>
      <c r="G494" s="16"/>
      <c r="I494" s="16"/>
      <c r="K494" s="16"/>
      <c r="M494" s="16"/>
      <c r="O494" s="16"/>
      <c r="Q494" s="16"/>
      <c r="R494" s="16"/>
      <c r="T494" s="16"/>
      <c r="V494" s="16"/>
      <c r="X494" s="16"/>
      <c r="Z494" s="16"/>
      <c r="AB494" s="16"/>
      <c r="AD494" s="16"/>
      <c r="AF494" s="16"/>
      <c r="AH494" s="16"/>
      <c r="AJ494" s="16"/>
      <c r="AL494" s="16"/>
      <c r="AN494" s="16"/>
      <c r="AP494" s="16"/>
      <c r="AR494" s="16"/>
      <c r="AT494" s="16"/>
      <c r="AV494" s="16"/>
    </row>
    <row r="495" spans="3:48" ht="12.75">
      <c r="C495" s="16"/>
      <c r="E495" s="16"/>
      <c r="G495" s="16"/>
      <c r="I495" s="16"/>
      <c r="K495" s="16"/>
      <c r="M495" s="16"/>
      <c r="O495" s="16"/>
      <c r="Q495" s="16"/>
      <c r="R495" s="16"/>
      <c r="T495" s="16"/>
      <c r="V495" s="16"/>
      <c r="X495" s="16"/>
      <c r="Z495" s="16"/>
      <c r="AB495" s="16"/>
      <c r="AD495" s="16"/>
      <c r="AF495" s="16"/>
      <c r="AH495" s="16"/>
      <c r="AJ495" s="16"/>
      <c r="AL495" s="16"/>
      <c r="AN495" s="16"/>
      <c r="AP495" s="16"/>
      <c r="AR495" s="16"/>
      <c r="AT495" s="16"/>
      <c r="AV495" s="16"/>
    </row>
    <row r="496" spans="3:48" ht="12.75">
      <c r="C496" s="16"/>
      <c r="E496" s="16"/>
      <c r="G496" s="16"/>
      <c r="I496" s="16"/>
      <c r="K496" s="16"/>
      <c r="M496" s="16"/>
      <c r="O496" s="16"/>
      <c r="Q496" s="16"/>
      <c r="R496" s="16"/>
      <c r="T496" s="16"/>
      <c r="V496" s="16"/>
      <c r="X496" s="16"/>
      <c r="Z496" s="16"/>
      <c r="AB496" s="16"/>
      <c r="AD496" s="16"/>
      <c r="AF496" s="16"/>
      <c r="AH496" s="16"/>
      <c r="AJ496" s="16"/>
      <c r="AL496" s="16"/>
      <c r="AN496" s="16"/>
      <c r="AP496" s="16"/>
      <c r="AR496" s="16"/>
      <c r="AT496" s="16"/>
      <c r="AV496" s="16"/>
    </row>
    <row r="497" spans="3:48" ht="12.75">
      <c r="C497" s="16"/>
      <c r="E497" s="16"/>
      <c r="G497" s="16"/>
      <c r="I497" s="16"/>
      <c r="K497" s="16"/>
      <c r="M497" s="16"/>
      <c r="O497" s="16"/>
      <c r="Q497" s="16"/>
      <c r="R497" s="16"/>
      <c r="T497" s="16"/>
      <c r="V497" s="16"/>
      <c r="X497" s="16"/>
      <c r="Z497" s="16"/>
      <c r="AB497" s="16"/>
      <c r="AD497" s="16"/>
      <c r="AF497" s="16"/>
      <c r="AH497" s="16"/>
      <c r="AJ497" s="16"/>
      <c r="AL497" s="16"/>
      <c r="AN497" s="16"/>
      <c r="AP497" s="16"/>
      <c r="AR497" s="16"/>
      <c r="AT497" s="16"/>
      <c r="AV497" s="16"/>
    </row>
    <row r="498" spans="3:48" ht="12.75">
      <c r="C498" s="16"/>
      <c r="E498" s="16"/>
      <c r="G498" s="16"/>
      <c r="I498" s="16"/>
      <c r="K498" s="16"/>
      <c r="M498" s="16"/>
      <c r="O498" s="16"/>
      <c r="Q498" s="16"/>
      <c r="R498" s="16"/>
      <c r="T498" s="16"/>
      <c r="V498" s="16"/>
      <c r="X498" s="16"/>
      <c r="Z498" s="16"/>
      <c r="AB498" s="16"/>
      <c r="AD498" s="16"/>
      <c r="AF498" s="16"/>
      <c r="AH498" s="16"/>
      <c r="AJ498" s="16"/>
      <c r="AL498" s="16"/>
      <c r="AN498" s="16"/>
      <c r="AP498" s="16"/>
      <c r="AR498" s="16"/>
      <c r="AT498" s="16"/>
      <c r="AV498" s="16"/>
    </row>
    <row r="499" spans="3:48" ht="12.75">
      <c r="C499" s="16"/>
      <c r="E499" s="16"/>
      <c r="G499" s="16"/>
      <c r="I499" s="16"/>
      <c r="K499" s="16"/>
      <c r="M499" s="16"/>
      <c r="O499" s="16"/>
      <c r="Q499" s="16"/>
      <c r="R499" s="16"/>
      <c r="T499" s="16"/>
      <c r="V499" s="16"/>
      <c r="X499" s="16"/>
      <c r="Z499" s="16"/>
      <c r="AB499" s="16"/>
      <c r="AD499" s="16"/>
      <c r="AF499" s="16"/>
      <c r="AH499" s="16"/>
      <c r="AJ499" s="16"/>
      <c r="AL499" s="16"/>
      <c r="AN499" s="16"/>
      <c r="AP499" s="16"/>
      <c r="AR499" s="16"/>
      <c r="AT499" s="16"/>
      <c r="AV499" s="16"/>
    </row>
    <row r="500" spans="3:48" ht="12.75">
      <c r="C500" s="16"/>
      <c r="E500" s="16"/>
      <c r="G500" s="16"/>
      <c r="I500" s="16"/>
      <c r="K500" s="16"/>
      <c r="M500" s="16"/>
      <c r="O500" s="16"/>
      <c r="Q500" s="16"/>
      <c r="R500" s="16"/>
      <c r="T500" s="16"/>
      <c r="V500" s="16"/>
      <c r="X500" s="16"/>
      <c r="Z500" s="16"/>
      <c r="AB500" s="16"/>
      <c r="AD500" s="16"/>
      <c r="AF500" s="16"/>
      <c r="AH500" s="16"/>
      <c r="AJ500" s="16"/>
      <c r="AL500" s="16"/>
      <c r="AN500" s="16"/>
      <c r="AP500" s="16"/>
      <c r="AR500" s="16"/>
      <c r="AT500" s="16"/>
      <c r="AV500" s="16"/>
    </row>
    <row r="501" spans="3:48" ht="12.75">
      <c r="C501" s="16"/>
      <c r="E501" s="16"/>
      <c r="G501" s="16"/>
      <c r="I501" s="16"/>
      <c r="K501" s="16"/>
      <c r="M501" s="16"/>
      <c r="O501" s="16"/>
      <c r="Q501" s="16"/>
      <c r="R501" s="16"/>
      <c r="T501" s="16"/>
      <c r="V501" s="16"/>
      <c r="X501" s="16"/>
      <c r="Z501" s="16"/>
      <c r="AB501" s="16"/>
      <c r="AD501" s="16"/>
      <c r="AF501" s="16"/>
      <c r="AH501" s="16"/>
      <c r="AJ501" s="16"/>
      <c r="AL501" s="16"/>
      <c r="AN501" s="16"/>
      <c r="AP501" s="16"/>
      <c r="AR501" s="16"/>
      <c r="AT501" s="16"/>
      <c r="AV501" s="16"/>
    </row>
    <row r="502" spans="3:48" ht="12.75">
      <c r="C502" s="16"/>
      <c r="E502" s="16"/>
      <c r="G502" s="16"/>
      <c r="I502" s="16"/>
      <c r="K502" s="16"/>
      <c r="M502" s="16"/>
      <c r="O502" s="16"/>
      <c r="Q502" s="16"/>
      <c r="R502" s="16"/>
      <c r="T502" s="16"/>
      <c r="V502" s="16"/>
      <c r="X502" s="16"/>
      <c r="Z502" s="16"/>
      <c r="AB502" s="16"/>
      <c r="AD502" s="16"/>
      <c r="AF502" s="16"/>
      <c r="AH502" s="16"/>
      <c r="AJ502" s="16"/>
      <c r="AL502" s="16"/>
      <c r="AN502" s="16"/>
      <c r="AP502" s="16"/>
      <c r="AR502" s="16"/>
      <c r="AT502" s="16"/>
      <c r="AV502" s="16"/>
    </row>
    <row r="503" spans="3:48" ht="12.75">
      <c r="C503" s="16"/>
      <c r="E503" s="16"/>
      <c r="G503" s="16"/>
      <c r="I503" s="16"/>
      <c r="K503" s="16"/>
      <c r="M503" s="16"/>
      <c r="O503" s="16"/>
      <c r="Q503" s="16"/>
      <c r="R503" s="16"/>
      <c r="T503" s="16"/>
      <c r="V503" s="16"/>
      <c r="X503" s="16"/>
      <c r="Z503" s="16"/>
      <c r="AB503" s="16"/>
      <c r="AD503" s="16"/>
      <c r="AF503" s="16"/>
      <c r="AH503" s="16"/>
      <c r="AJ503" s="16"/>
      <c r="AL503" s="16"/>
      <c r="AN503" s="16"/>
      <c r="AP503" s="16"/>
      <c r="AR503" s="16"/>
      <c r="AT503" s="16"/>
      <c r="AV503" s="16"/>
    </row>
    <row r="504" spans="3:48" ht="12.75">
      <c r="C504" s="16"/>
      <c r="E504" s="16"/>
      <c r="G504" s="16"/>
      <c r="I504" s="16"/>
      <c r="K504" s="16"/>
      <c r="M504" s="16"/>
      <c r="O504" s="16"/>
      <c r="Q504" s="16"/>
      <c r="R504" s="16"/>
      <c r="T504" s="16"/>
      <c r="V504" s="16"/>
      <c r="X504" s="16"/>
      <c r="Z504" s="16"/>
      <c r="AB504" s="16"/>
      <c r="AD504" s="16"/>
      <c r="AF504" s="16"/>
      <c r="AH504" s="16"/>
      <c r="AJ504" s="16"/>
      <c r="AL504" s="16"/>
      <c r="AN504" s="16"/>
      <c r="AP504" s="16"/>
      <c r="AR504" s="16"/>
      <c r="AT504" s="16"/>
      <c r="AV504" s="16"/>
    </row>
    <row r="505" spans="3:48" ht="12.75">
      <c r="C505" s="16"/>
      <c r="E505" s="16"/>
      <c r="G505" s="16"/>
      <c r="I505" s="16"/>
      <c r="K505" s="16"/>
      <c r="M505" s="16"/>
      <c r="O505" s="16"/>
      <c r="Q505" s="16"/>
      <c r="R505" s="16"/>
      <c r="T505" s="16"/>
      <c r="V505" s="16"/>
      <c r="X505" s="16"/>
      <c r="Z505" s="16"/>
      <c r="AB505" s="16"/>
      <c r="AD505" s="16"/>
      <c r="AF505" s="16"/>
      <c r="AH505" s="16"/>
      <c r="AJ505" s="16"/>
      <c r="AL505" s="16"/>
      <c r="AN505" s="16"/>
      <c r="AP505" s="16"/>
      <c r="AR505" s="16"/>
      <c r="AT505" s="16"/>
      <c r="AV505" s="16"/>
    </row>
    <row r="506" spans="3:48" ht="12.75">
      <c r="C506" s="16"/>
      <c r="E506" s="16"/>
      <c r="G506" s="16"/>
      <c r="I506" s="16"/>
      <c r="K506" s="16"/>
      <c r="M506" s="16"/>
      <c r="O506" s="16"/>
      <c r="Q506" s="16"/>
      <c r="R506" s="16"/>
      <c r="T506" s="16"/>
      <c r="V506" s="16"/>
      <c r="X506" s="16"/>
      <c r="Z506" s="16"/>
      <c r="AB506" s="16"/>
      <c r="AD506" s="16"/>
      <c r="AF506" s="16"/>
      <c r="AH506" s="16"/>
      <c r="AJ506" s="16"/>
      <c r="AL506" s="16"/>
      <c r="AN506" s="16"/>
      <c r="AP506" s="16"/>
      <c r="AR506" s="16"/>
      <c r="AT506" s="16"/>
      <c r="AV506" s="16"/>
    </row>
    <row r="507" spans="3:48" ht="12.75">
      <c r="C507" s="16"/>
      <c r="E507" s="16"/>
      <c r="G507" s="16"/>
      <c r="I507" s="16"/>
      <c r="K507" s="16"/>
      <c r="M507" s="16"/>
      <c r="O507" s="16"/>
      <c r="Q507" s="16"/>
      <c r="R507" s="16"/>
      <c r="T507" s="16"/>
      <c r="V507" s="16"/>
      <c r="X507" s="16"/>
      <c r="Z507" s="16"/>
      <c r="AB507" s="16"/>
      <c r="AD507" s="16"/>
      <c r="AF507" s="16"/>
      <c r="AH507" s="16"/>
      <c r="AJ507" s="16"/>
      <c r="AL507" s="16"/>
      <c r="AN507" s="16"/>
      <c r="AP507" s="16"/>
      <c r="AR507" s="16"/>
      <c r="AT507" s="16"/>
      <c r="AV507" s="16"/>
    </row>
    <row r="508" spans="3:48" ht="12.75">
      <c r="C508" s="16"/>
      <c r="E508" s="16"/>
      <c r="G508" s="16"/>
      <c r="I508" s="16"/>
      <c r="K508" s="16"/>
      <c r="M508" s="16"/>
      <c r="O508" s="16"/>
      <c r="Q508" s="16"/>
      <c r="R508" s="16"/>
      <c r="T508" s="16"/>
      <c r="V508" s="16"/>
      <c r="X508" s="16"/>
      <c r="Z508" s="16"/>
      <c r="AB508" s="16"/>
      <c r="AD508" s="16"/>
      <c r="AF508" s="16"/>
      <c r="AH508" s="16"/>
      <c r="AJ508" s="16"/>
      <c r="AL508" s="16"/>
      <c r="AN508" s="16"/>
      <c r="AP508" s="16"/>
      <c r="AR508" s="16"/>
      <c r="AT508" s="16"/>
      <c r="AV508" s="16"/>
    </row>
    <row r="509" spans="3:48" ht="12.75">
      <c r="C509" s="16"/>
      <c r="E509" s="16"/>
      <c r="G509" s="16"/>
      <c r="I509" s="16"/>
      <c r="K509" s="16"/>
      <c r="M509" s="16"/>
      <c r="O509" s="16"/>
      <c r="Q509" s="16"/>
      <c r="R509" s="16"/>
      <c r="T509" s="16"/>
      <c r="V509" s="16"/>
      <c r="X509" s="16"/>
      <c r="Z509" s="16"/>
      <c r="AB509" s="16"/>
      <c r="AD509" s="16"/>
      <c r="AF509" s="16"/>
      <c r="AH509" s="16"/>
      <c r="AJ509" s="16"/>
      <c r="AL509" s="16"/>
      <c r="AN509" s="16"/>
      <c r="AP509" s="16"/>
      <c r="AR509" s="16"/>
      <c r="AT509" s="16"/>
      <c r="AV509" s="16"/>
    </row>
    <row r="510" spans="3:48" ht="12.75">
      <c r="C510" s="16"/>
      <c r="E510" s="16"/>
      <c r="G510" s="16"/>
      <c r="I510" s="16"/>
      <c r="K510" s="16"/>
      <c r="M510" s="16"/>
      <c r="O510" s="16"/>
      <c r="Q510" s="16"/>
      <c r="R510" s="16"/>
      <c r="T510" s="16"/>
      <c r="V510" s="16"/>
      <c r="X510" s="16"/>
      <c r="Z510" s="16"/>
      <c r="AB510" s="16"/>
      <c r="AD510" s="16"/>
      <c r="AF510" s="16"/>
      <c r="AH510" s="16"/>
      <c r="AJ510" s="16"/>
      <c r="AL510" s="16"/>
      <c r="AN510" s="16"/>
      <c r="AP510" s="16"/>
      <c r="AR510" s="16"/>
      <c r="AT510" s="16"/>
      <c r="AV510" s="16"/>
    </row>
    <row r="511" spans="3:48" ht="12.75">
      <c r="C511" s="16"/>
      <c r="E511" s="16"/>
      <c r="G511" s="16"/>
      <c r="I511" s="16"/>
      <c r="K511" s="16"/>
      <c r="M511" s="16"/>
      <c r="O511" s="16"/>
      <c r="Q511" s="16"/>
      <c r="R511" s="16"/>
      <c r="T511" s="16"/>
      <c r="V511" s="16"/>
      <c r="X511" s="16"/>
      <c r="Z511" s="16"/>
      <c r="AB511" s="16"/>
      <c r="AD511" s="16"/>
      <c r="AF511" s="16"/>
      <c r="AH511" s="16"/>
      <c r="AJ511" s="16"/>
      <c r="AL511" s="16"/>
      <c r="AN511" s="16"/>
      <c r="AP511" s="16"/>
      <c r="AR511" s="16"/>
      <c r="AT511" s="16"/>
      <c r="AV511" s="16"/>
    </row>
    <row r="512" spans="3:48" ht="12.75">
      <c r="C512" s="16"/>
      <c r="E512" s="16"/>
      <c r="G512" s="16"/>
      <c r="I512" s="16"/>
      <c r="K512" s="16"/>
      <c r="M512" s="16"/>
      <c r="O512" s="16"/>
      <c r="Q512" s="16"/>
      <c r="R512" s="16"/>
      <c r="T512" s="16"/>
      <c r="V512" s="16"/>
      <c r="X512" s="16"/>
      <c r="Z512" s="16"/>
      <c r="AB512" s="16"/>
      <c r="AD512" s="16"/>
      <c r="AF512" s="16"/>
      <c r="AH512" s="16"/>
      <c r="AJ512" s="16"/>
      <c r="AL512" s="16"/>
      <c r="AN512" s="16"/>
      <c r="AP512" s="16"/>
      <c r="AR512" s="16"/>
      <c r="AT512" s="16"/>
      <c r="AV512" s="16"/>
    </row>
    <row r="513" spans="3:48" ht="12.75">
      <c r="C513" s="16"/>
      <c r="E513" s="16"/>
      <c r="G513" s="16"/>
      <c r="I513" s="16"/>
      <c r="K513" s="16"/>
      <c r="M513" s="16"/>
      <c r="O513" s="16"/>
      <c r="Q513" s="16"/>
      <c r="R513" s="16"/>
      <c r="T513" s="16"/>
      <c r="V513" s="16"/>
      <c r="X513" s="16"/>
      <c r="Z513" s="16"/>
      <c r="AB513" s="16"/>
      <c r="AD513" s="16"/>
      <c r="AF513" s="16"/>
      <c r="AH513" s="16"/>
      <c r="AJ513" s="16"/>
      <c r="AL513" s="16"/>
      <c r="AN513" s="16"/>
      <c r="AP513" s="16"/>
      <c r="AR513" s="16"/>
      <c r="AT513" s="16"/>
      <c r="AV513" s="16"/>
    </row>
    <row r="514" spans="3:48" ht="12.75">
      <c r="C514" s="16"/>
      <c r="E514" s="16"/>
      <c r="G514" s="16"/>
      <c r="I514" s="16"/>
      <c r="K514" s="16"/>
      <c r="M514" s="16"/>
      <c r="O514" s="16"/>
      <c r="Q514" s="16"/>
      <c r="R514" s="16"/>
      <c r="T514" s="16"/>
      <c r="V514" s="16"/>
      <c r="X514" s="16"/>
      <c r="Z514" s="16"/>
      <c r="AB514" s="16"/>
      <c r="AD514" s="16"/>
      <c r="AF514" s="16"/>
      <c r="AH514" s="16"/>
      <c r="AJ514" s="16"/>
      <c r="AL514" s="16"/>
      <c r="AN514" s="16"/>
      <c r="AP514" s="16"/>
      <c r="AR514" s="16"/>
      <c r="AT514" s="16"/>
      <c r="AV514" s="16"/>
    </row>
    <row r="515" spans="3:48" ht="12.75">
      <c r="C515" s="16"/>
      <c r="E515" s="16"/>
      <c r="G515" s="16"/>
      <c r="I515" s="16"/>
      <c r="K515" s="16"/>
      <c r="M515" s="16"/>
      <c r="O515" s="16"/>
      <c r="Q515" s="16"/>
      <c r="R515" s="16"/>
      <c r="T515" s="16"/>
      <c r="V515" s="16"/>
      <c r="X515" s="16"/>
      <c r="Z515" s="16"/>
      <c r="AB515" s="16"/>
      <c r="AD515" s="16"/>
      <c r="AF515" s="16"/>
      <c r="AH515" s="16"/>
      <c r="AJ515" s="16"/>
      <c r="AL515" s="16"/>
      <c r="AN515" s="16"/>
      <c r="AP515" s="16"/>
      <c r="AR515" s="16"/>
      <c r="AT515" s="16"/>
      <c r="AV515" s="16"/>
    </row>
    <row r="516" spans="3:48" ht="12.75">
      <c r="C516" s="16"/>
      <c r="E516" s="16"/>
      <c r="G516" s="16"/>
      <c r="I516" s="16"/>
      <c r="K516" s="16"/>
      <c r="M516" s="16"/>
      <c r="O516" s="16"/>
      <c r="Q516" s="16"/>
      <c r="R516" s="16"/>
      <c r="T516" s="16"/>
      <c r="V516" s="16"/>
      <c r="X516" s="16"/>
      <c r="Z516" s="16"/>
      <c r="AB516" s="16"/>
      <c r="AD516" s="16"/>
      <c r="AF516" s="16"/>
      <c r="AH516" s="16"/>
      <c r="AJ516" s="16"/>
      <c r="AL516" s="16"/>
      <c r="AN516" s="16"/>
      <c r="AP516" s="16"/>
      <c r="AR516" s="16"/>
      <c r="AT516" s="16"/>
      <c r="AV516" s="16"/>
    </row>
    <row r="517" spans="3:48" ht="12.75">
      <c r="C517" s="16"/>
      <c r="E517" s="16"/>
      <c r="G517" s="16"/>
      <c r="I517" s="16"/>
      <c r="K517" s="16"/>
      <c r="M517" s="16"/>
      <c r="O517" s="16"/>
      <c r="Q517" s="16"/>
      <c r="R517" s="16"/>
      <c r="T517" s="16"/>
      <c r="V517" s="16"/>
      <c r="X517" s="16"/>
      <c r="Z517" s="16"/>
      <c r="AB517" s="16"/>
      <c r="AD517" s="16"/>
      <c r="AF517" s="16"/>
      <c r="AH517" s="16"/>
      <c r="AJ517" s="16"/>
      <c r="AL517" s="16"/>
      <c r="AN517" s="16"/>
      <c r="AP517" s="16"/>
      <c r="AR517" s="16"/>
      <c r="AT517" s="16"/>
      <c r="AV517" s="16"/>
    </row>
    <row r="518" spans="3:48" ht="12.75">
      <c r="C518" s="16"/>
      <c r="E518" s="16"/>
      <c r="G518" s="16"/>
      <c r="I518" s="16"/>
      <c r="K518" s="16"/>
      <c r="M518" s="16"/>
      <c r="O518" s="16"/>
      <c r="Q518" s="16"/>
      <c r="R518" s="16"/>
      <c r="T518" s="16"/>
      <c r="V518" s="16"/>
      <c r="X518" s="16"/>
      <c r="Z518" s="16"/>
      <c r="AB518" s="16"/>
      <c r="AD518" s="16"/>
      <c r="AF518" s="16"/>
      <c r="AH518" s="16"/>
      <c r="AJ518" s="16"/>
      <c r="AL518" s="16"/>
      <c r="AN518" s="16"/>
      <c r="AP518" s="16"/>
      <c r="AR518" s="16"/>
      <c r="AT518" s="16"/>
      <c r="AV518" s="16"/>
    </row>
    <row r="519" spans="3:48" ht="12.75">
      <c r="C519" s="16"/>
      <c r="E519" s="16"/>
      <c r="G519" s="16"/>
      <c r="I519" s="16"/>
      <c r="K519" s="16"/>
      <c r="M519" s="16"/>
      <c r="O519" s="16"/>
      <c r="Q519" s="16"/>
      <c r="R519" s="16"/>
      <c r="T519" s="16"/>
      <c r="V519" s="16"/>
      <c r="X519" s="16"/>
      <c r="Z519" s="16"/>
      <c r="AB519" s="16"/>
      <c r="AD519" s="16"/>
      <c r="AF519" s="16"/>
      <c r="AH519" s="16"/>
      <c r="AJ519" s="16"/>
      <c r="AL519" s="16"/>
      <c r="AN519" s="16"/>
      <c r="AP519" s="16"/>
      <c r="AR519" s="16"/>
      <c r="AT519" s="16"/>
      <c r="AV519" s="16"/>
    </row>
    <row r="520" spans="3:48" ht="12.75">
      <c r="C520" s="16"/>
      <c r="E520" s="16"/>
      <c r="G520" s="16"/>
      <c r="I520" s="16"/>
      <c r="K520" s="16"/>
      <c r="M520" s="16"/>
      <c r="O520" s="16"/>
      <c r="Q520" s="16"/>
      <c r="R520" s="16"/>
      <c r="T520" s="16"/>
      <c r="V520" s="16"/>
      <c r="X520" s="16"/>
      <c r="Z520" s="16"/>
      <c r="AB520" s="16"/>
      <c r="AD520" s="16"/>
      <c r="AF520" s="16"/>
      <c r="AH520" s="16"/>
      <c r="AJ520" s="16"/>
      <c r="AL520" s="16"/>
      <c r="AN520" s="16"/>
      <c r="AP520" s="16"/>
      <c r="AR520" s="16"/>
      <c r="AT520" s="16"/>
      <c r="AV520" s="16"/>
    </row>
    <row r="521" spans="3:48" ht="12.75">
      <c r="C521" s="16"/>
      <c r="E521" s="16"/>
      <c r="G521" s="16"/>
      <c r="I521" s="16"/>
      <c r="K521" s="16"/>
      <c r="M521" s="16"/>
      <c r="O521" s="16"/>
      <c r="Q521" s="16"/>
      <c r="R521" s="16"/>
      <c r="T521" s="16"/>
      <c r="V521" s="16"/>
      <c r="X521" s="16"/>
      <c r="Z521" s="16"/>
      <c r="AB521" s="16"/>
      <c r="AD521" s="16"/>
      <c r="AF521" s="16"/>
      <c r="AH521" s="16"/>
      <c r="AJ521" s="16"/>
      <c r="AL521" s="16"/>
      <c r="AN521" s="16"/>
      <c r="AP521" s="16"/>
      <c r="AR521" s="16"/>
      <c r="AT521" s="16"/>
      <c r="AV521" s="16"/>
    </row>
    <row r="522" spans="3:48" ht="12.75">
      <c r="C522" s="16"/>
      <c r="E522" s="16"/>
      <c r="G522" s="16"/>
      <c r="I522" s="16"/>
      <c r="K522" s="16"/>
      <c r="M522" s="16"/>
      <c r="O522" s="16"/>
      <c r="Q522" s="16"/>
      <c r="R522" s="16"/>
      <c r="T522" s="16"/>
      <c r="V522" s="16"/>
      <c r="X522" s="16"/>
      <c r="Z522" s="16"/>
      <c r="AB522" s="16"/>
      <c r="AD522" s="16"/>
      <c r="AF522" s="16"/>
      <c r="AH522" s="16"/>
      <c r="AJ522" s="16"/>
      <c r="AL522" s="16"/>
      <c r="AN522" s="16"/>
      <c r="AP522" s="16"/>
      <c r="AR522" s="16"/>
      <c r="AT522" s="16"/>
      <c r="AV522" s="16"/>
    </row>
    <row r="523" spans="3:48" ht="12.75">
      <c r="C523" s="16"/>
      <c r="E523" s="16"/>
      <c r="G523" s="16"/>
      <c r="I523" s="16"/>
      <c r="K523" s="16"/>
      <c r="M523" s="16"/>
      <c r="O523" s="16"/>
      <c r="Q523" s="16"/>
      <c r="R523" s="16"/>
      <c r="T523" s="16"/>
      <c r="V523" s="16"/>
      <c r="X523" s="16"/>
      <c r="Z523" s="16"/>
      <c r="AB523" s="16"/>
      <c r="AD523" s="16"/>
      <c r="AF523" s="16"/>
      <c r="AH523" s="16"/>
      <c r="AJ523" s="16"/>
      <c r="AL523" s="16"/>
      <c r="AN523" s="16"/>
      <c r="AP523" s="16"/>
      <c r="AR523" s="16"/>
      <c r="AT523" s="16"/>
      <c r="AV523" s="16"/>
    </row>
    <row r="524" spans="3:48" ht="12.75">
      <c r="C524" s="16"/>
      <c r="E524" s="16"/>
      <c r="G524" s="16"/>
      <c r="I524" s="16"/>
      <c r="K524" s="16"/>
      <c r="M524" s="16"/>
      <c r="O524" s="16"/>
      <c r="Q524" s="16"/>
      <c r="R524" s="16"/>
      <c r="T524" s="16"/>
      <c r="V524" s="16"/>
      <c r="X524" s="16"/>
      <c r="Z524" s="16"/>
      <c r="AB524" s="16"/>
      <c r="AD524" s="16"/>
      <c r="AF524" s="16"/>
      <c r="AH524" s="16"/>
      <c r="AJ524" s="16"/>
      <c r="AL524" s="16"/>
      <c r="AN524" s="16"/>
      <c r="AP524" s="16"/>
      <c r="AR524" s="16"/>
      <c r="AT524" s="16"/>
      <c r="AV524" s="16"/>
    </row>
    <row r="525" spans="3:48" ht="12.75">
      <c r="C525" s="16"/>
      <c r="E525" s="16"/>
      <c r="G525" s="16"/>
      <c r="I525" s="16"/>
      <c r="K525" s="16"/>
      <c r="M525" s="16"/>
      <c r="O525" s="16"/>
      <c r="Q525" s="16"/>
      <c r="R525" s="16"/>
      <c r="T525" s="16"/>
      <c r="V525" s="16"/>
      <c r="X525" s="16"/>
      <c r="Z525" s="16"/>
      <c r="AB525" s="16"/>
      <c r="AD525" s="16"/>
      <c r="AF525" s="16"/>
      <c r="AH525" s="16"/>
      <c r="AJ525" s="16"/>
      <c r="AL525" s="16"/>
      <c r="AN525" s="16"/>
      <c r="AP525" s="16"/>
      <c r="AR525" s="16"/>
      <c r="AT525" s="16"/>
      <c r="AV525" s="16"/>
    </row>
    <row r="526" spans="3:48" ht="12.75">
      <c r="C526" s="16"/>
      <c r="E526" s="16"/>
      <c r="G526" s="16"/>
      <c r="I526" s="16"/>
      <c r="K526" s="16"/>
      <c r="M526" s="16"/>
      <c r="O526" s="16"/>
      <c r="Q526" s="16"/>
      <c r="R526" s="16"/>
      <c r="T526" s="16"/>
      <c r="V526" s="16"/>
      <c r="X526" s="16"/>
      <c r="Z526" s="16"/>
      <c r="AB526" s="16"/>
      <c r="AD526" s="16"/>
      <c r="AF526" s="16"/>
      <c r="AH526" s="16"/>
      <c r="AJ526" s="16"/>
      <c r="AL526" s="16"/>
      <c r="AN526" s="16"/>
      <c r="AP526" s="16"/>
      <c r="AR526" s="16"/>
      <c r="AT526" s="16"/>
      <c r="AV526" s="16"/>
    </row>
    <row r="527" spans="3:48" ht="12.75">
      <c r="C527" s="16"/>
      <c r="E527" s="16"/>
      <c r="G527" s="16"/>
      <c r="I527" s="16"/>
      <c r="K527" s="16"/>
      <c r="M527" s="16"/>
      <c r="O527" s="16"/>
      <c r="Q527" s="16"/>
      <c r="R527" s="16"/>
      <c r="T527" s="16"/>
      <c r="V527" s="16"/>
      <c r="X527" s="16"/>
      <c r="Z527" s="16"/>
      <c r="AB527" s="16"/>
      <c r="AD527" s="16"/>
      <c r="AF527" s="16"/>
      <c r="AH527" s="16"/>
      <c r="AJ527" s="16"/>
      <c r="AL527" s="16"/>
      <c r="AN527" s="16"/>
      <c r="AP527" s="16"/>
      <c r="AR527" s="16"/>
      <c r="AT527" s="16"/>
      <c r="AV527" s="16"/>
    </row>
    <row r="528" spans="3:48" ht="12.75">
      <c r="C528" s="16"/>
      <c r="E528" s="16"/>
      <c r="G528" s="16"/>
      <c r="I528" s="16"/>
      <c r="K528" s="16"/>
      <c r="M528" s="16"/>
      <c r="O528" s="16"/>
      <c r="Q528" s="16"/>
      <c r="R528" s="16"/>
      <c r="T528" s="16"/>
      <c r="V528" s="16"/>
      <c r="X528" s="16"/>
      <c r="Z528" s="16"/>
      <c r="AB528" s="16"/>
      <c r="AD528" s="16"/>
      <c r="AF528" s="16"/>
      <c r="AH528" s="16"/>
      <c r="AJ528" s="16"/>
      <c r="AL528" s="16"/>
      <c r="AN528" s="16"/>
      <c r="AP528" s="16"/>
      <c r="AR528" s="16"/>
      <c r="AT528" s="16"/>
      <c r="AV528" s="16"/>
    </row>
    <row r="529" spans="3:48" ht="12.75">
      <c r="C529" s="16"/>
      <c r="E529" s="16"/>
      <c r="G529" s="16"/>
      <c r="I529" s="16"/>
      <c r="K529" s="16"/>
      <c r="M529" s="16"/>
      <c r="O529" s="16"/>
      <c r="Q529" s="16"/>
      <c r="R529" s="16"/>
      <c r="T529" s="16"/>
      <c r="V529" s="16"/>
      <c r="X529" s="16"/>
      <c r="Z529" s="16"/>
      <c r="AB529" s="16"/>
      <c r="AD529" s="16"/>
      <c r="AF529" s="16"/>
      <c r="AH529" s="16"/>
      <c r="AJ529" s="16"/>
      <c r="AL529" s="16"/>
      <c r="AN529" s="16"/>
      <c r="AP529" s="16"/>
      <c r="AR529" s="16"/>
      <c r="AT529" s="16"/>
      <c r="AV529" s="16"/>
    </row>
    <row r="530" spans="3:48" ht="12.75">
      <c r="C530" s="16"/>
      <c r="E530" s="16"/>
      <c r="G530" s="16"/>
      <c r="I530" s="16"/>
      <c r="K530" s="16"/>
      <c r="M530" s="16"/>
      <c r="O530" s="16"/>
      <c r="Q530" s="16"/>
      <c r="R530" s="16"/>
      <c r="T530" s="16"/>
      <c r="V530" s="16"/>
      <c r="X530" s="16"/>
      <c r="Z530" s="16"/>
      <c r="AB530" s="16"/>
      <c r="AD530" s="16"/>
      <c r="AF530" s="16"/>
      <c r="AH530" s="16"/>
      <c r="AJ530" s="16"/>
      <c r="AL530" s="16"/>
      <c r="AN530" s="16"/>
      <c r="AP530" s="16"/>
      <c r="AR530" s="16"/>
      <c r="AT530" s="16"/>
      <c r="AV530" s="16"/>
    </row>
    <row r="531" spans="3:48" ht="12.75">
      <c r="C531" s="16"/>
      <c r="E531" s="16"/>
      <c r="G531" s="16"/>
      <c r="I531" s="16"/>
      <c r="K531" s="16"/>
      <c r="M531" s="16"/>
      <c r="O531" s="16"/>
      <c r="Q531" s="16"/>
      <c r="R531" s="16"/>
      <c r="T531" s="16"/>
      <c r="V531" s="16"/>
      <c r="X531" s="16"/>
      <c r="Z531" s="16"/>
      <c r="AB531" s="16"/>
      <c r="AD531" s="16"/>
      <c r="AF531" s="16"/>
      <c r="AH531" s="16"/>
      <c r="AJ531" s="16"/>
      <c r="AL531" s="16"/>
      <c r="AN531" s="16"/>
      <c r="AP531" s="16"/>
      <c r="AR531" s="16"/>
      <c r="AT531" s="16"/>
      <c r="AV531" s="16"/>
    </row>
    <row r="532" spans="3:48" ht="12.75">
      <c r="C532" s="16"/>
      <c r="E532" s="16"/>
      <c r="G532" s="16"/>
      <c r="I532" s="16"/>
      <c r="K532" s="16"/>
      <c r="M532" s="16"/>
      <c r="O532" s="16"/>
      <c r="Q532" s="16"/>
      <c r="R532" s="16"/>
      <c r="T532" s="16"/>
      <c r="V532" s="16"/>
      <c r="X532" s="16"/>
      <c r="Z532" s="16"/>
      <c r="AB532" s="16"/>
      <c r="AD532" s="16"/>
      <c r="AF532" s="16"/>
      <c r="AH532" s="16"/>
      <c r="AJ532" s="16"/>
      <c r="AL532" s="16"/>
      <c r="AN532" s="16"/>
      <c r="AP532" s="16"/>
      <c r="AR532" s="16"/>
      <c r="AT532" s="16"/>
      <c r="AV532" s="16"/>
    </row>
    <row r="533" spans="3:48" ht="12.75">
      <c r="C533" s="16"/>
      <c r="E533" s="16"/>
      <c r="G533" s="16"/>
      <c r="I533" s="16"/>
      <c r="K533" s="16"/>
      <c r="M533" s="16"/>
      <c r="O533" s="16"/>
      <c r="Q533" s="16"/>
      <c r="R533" s="16"/>
      <c r="T533" s="16"/>
      <c r="V533" s="16"/>
      <c r="X533" s="16"/>
      <c r="Z533" s="16"/>
      <c r="AB533" s="16"/>
      <c r="AD533" s="16"/>
      <c r="AF533" s="16"/>
      <c r="AH533" s="16"/>
      <c r="AJ533" s="16"/>
      <c r="AL533" s="16"/>
      <c r="AN533" s="16"/>
      <c r="AP533" s="16"/>
      <c r="AR533" s="16"/>
      <c r="AT533" s="16"/>
      <c r="AV533" s="16"/>
    </row>
    <row r="534" spans="3:48" ht="12.75">
      <c r="C534" s="16"/>
      <c r="E534" s="16"/>
      <c r="G534" s="16"/>
      <c r="I534" s="16"/>
      <c r="K534" s="16"/>
      <c r="M534" s="16"/>
      <c r="O534" s="16"/>
      <c r="Q534" s="16"/>
      <c r="R534" s="16"/>
      <c r="T534" s="16"/>
      <c r="V534" s="16"/>
      <c r="X534" s="16"/>
      <c r="Z534" s="16"/>
      <c r="AB534" s="16"/>
      <c r="AD534" s="16"/>
      <c r="AF534" s="16"/>
      <c r="AH534" s="16"/>
      <c r="AJ534" s="16"/>
      <c r="AL534" s="16"/>
      <c r="AN534" s="16"/>
      <c r="AP534" s="16"/>
      <c r="AR534" s="16"/>
      <c r="AT534" s="16"/>
      <c r="AV534" s="16"/>
    </row>
    <row r="535" spans="3:48" ht="12.75">
      <c r="C535" s="16"/>
      <c r="E535" s="16"/>
      <c r="G535" s="16"/>
      <c r="I535" s="16"/>
      <c r="K535" s="16"/>
      <c r="M535" s="16"/>
      <c r="O535" s="16"/>
      <c r="Q535" s="16"/>
      <c r="R535" s="16"/>
      <c r="T535" s="16"/>
      <c r="V535" s="16"/>
      <c r="X535" s="16"/>
      <c r="Z535" s="16"/>
      <c r="AB535" s="16"/>
      <c r="AD535" s="16"/>
      <c r="AF535" s="16"/>
      <c r="AH535" s="16"/>
      <c r="AJ535" s="16"/>
      <c r="AL535" s="16"/>
      <c r="AN535" s="16"/>
      <c r="AP535" s="16"/>
      <c r="AR535" s="16"/>
      <c r="AT535" s="16"/>
      <c r="AV535" s="16"/>
    </row>
    <row r="536" spans="3:48" ht="12.75">
      <c r="C536" s="16"/>
      <c r="E536" s="16"/>
      <c r="G536" s="16"/>
      <c r="I536" s="16"/>
      <c r="K536" s="16"/>
      <c r="M536" s="16"/>
      <c r="O536" s="16"/>
      <c r="Q536" s="16"/>
      <c r="R536" s="16"/>
      <c r="T536" s="16"/>
      <c r="V536" s="16"/>
      <c r="X536" s="16"/>
      <c r="Z536" s="16"/>
      <c r="AB536" s="16"/>
      <c r="AD536" s="16"/>
      <c r="AF536" s="16"/>
      <c r="AH536" s="16"/>
      <c r="AJ536" s="16"/>
      <c r="AL536" s="16"/>
      <c r="AN536" s="16"/>
      <c r="AP536" s="16"/>
      <c r="AR536" s="16"/>
      <c r="AT536" s="16"/>
      <c r="AV536" s="16"/>
    </row>
    <row r="537" spans="3:48" ht="12.75">
      <c r="C537" s="16"/>
      <c r="E537" s="16"/>
      <c r="G537" s="16"/>
      <c r="I537" s="16"/>
      <c r="K537" s="16"/>
      <c r="M537" s="16"/>
      <c r="O537" s="16"/>
      <c r="Q537" s="16"/>
      <c r="R537" s="16"/>
      <c r="T537" s="16"/>
      <c r="V537" s="16"/>
      <c r="X537" s="16"/>
      <c r="Z537" s="16"/>
      <c r="AB537" s="16"/>
      <c r="AD537" s="16"/>
      <c r="AF537" s="16"/>
      <c r="AH537" s="16"/>
      <c r="AJ537" s="16"/>
      <c r="AL537" s="16"/>
      <c r="AN537" s="16"/>
      <c r="AP537" s="16"/>
      <c r="AR537" s="16"/>
      <c r="AT537" s="16"/>
      <c r="AV537" s="16"/>
    </row>
    <row r="538" spans="3:48" ht="12.75">
      <c r="C538" s="16"/>
      <c r="E538" s="16"/>
      <c r="G538" s="16"/>
      <c r="I538" s="16"/>
      <c r="K538" s="16"/>
      <c r="M538" s="16"/>
      <c r="O538" s="16"/>
      <c r="Q538" s="16"/>
      <c r="R538" s="16"/>
      <c r="T538" s="16"/>
      <c r="V538" s="16"/>
      <c r="X538" s="16"/>
      <c r="Z538" s="16"/>
      <c r="AB538" s="16"/>
      <c r="AD538" s="16"/>
      <c r="AF538" s="16"/>
      <c r="AH538" s="16"/>
      <c r="AJ538" s="16"/>
      <c r="AL538" s="16"/>
      <c r="AN538" s="16"/>
      <c r="AP538" s="16"/>
      <c r="AR538" s="16"/>
      <c r="AT538" s="16"/>
      <c r="AV538" s="16"/>
    </row>
    <row r="539" spans="3:48" ht="12.75">
      <c r="C539" s="16"/>
      <c r="E539" s="16"/>
      <c r="G539" s="16"/>
      <c r="I539" s="16"/>
      <c r="K539" s="16"/>
      <c r="M539" s="16"/>
      <c r="O539" s="16"/>
      <c r="Q539" s="16"/>
      <c r="R539" s="16"/>
      <c r="T539" s="16"/>
      <c r="V539" s="16"/>
      <c r="X539" s="16"/>
      <c r="Z539" s="16"/>
      <c r="AB539" s="16"/>
      <c r="AD539" s="16"/>
      <c r="AF539" s="16"/>
      <c r="AH539" s="16"/>
      <c r="AJ539" s="16"/>
      <c r="AL539" s="16"/>
      <c r="AN539" s="16"/>
      <c r="AP539" s="16"/>
      <c r="AR539" s="16"/>
      <c r="AT539" s="16"/>
      <c r="AV539" s="16"/>
    </row>
    <row r="540" spans="3:48" ht="12.75">
      <c r="C540" s="16"/>
      <c r="E540" s="16"/>
      <c r="G540" s="16"/>
      <c r="I540" s="16"/>
      <c r="K540" s="16"/>
      <c r="M540" s="16"/>
      <c r="O540" s="16"/>
      <c r="Q540" s="16"/>
      <c r="R540" s="16"/>
      <c r="T540" s="16"/>
      <c r="V540" s="16"/>
      <c r="X540" s="16"/>
      <c r="Z540" s="16"/>
      <c r="AB540" s="16"/>
      <c r="AD540" s="16"/>
      <c r="AF540" s="16"/>
      <c r="AH540" s="16"/>
      <c r="AJ540" s="16"/>
      <c r="AL540" s="16"/>
      <c r="AN540" s="16"/>
      <c r="AP540" s="16"/>
      <c r="AR540" s="16"/>
      <c r="AT540" s="16"/>
      <c r="AV540" s="16"/>
    </row>
    <row r="541" spans="3:48" ht="12.75">
      <c r="C541" s="16"/>
      <c r="E541" s="16"/>
      <c r="G541" s="16"/>
      <c r="I541" s="16"/>
      <c r="K541" s="16"/>
      <c r="M541" s="16"/>
      <c r="O541" s="16"/>
      <c r="Q541" s="16"/>
      <c r="R541" s="16"/>
      <c r="T541" s="16"/>
      <c r="V541" s="16"/>
      <c r="X541" s="16"/>
      <c r="Z541" s="16"/>
      <c r="AB541" s="16"/>
      <c r="AD541" s="16"/>
      <c r="AF541" s="16"/>
      <c r="AH541" s="16"/>
      <c r="AJ541" s="16"/>
      <c r="AL541" s="16"/>
      <c r="AN541" s="16"/>
      <c r="AP541" s="16"/>
      <c r="AR541" s="16"/>
      <c r="AT541" s="16"/>
      <c r="AV541" s="16"/>
    </row>
    <row r="542" spans="3:48" ht="12.75">
      <c r="C542" s="16"/>
      <c r="E542" s="16"/>
      <c r="G542" s="16"/>
      <c r="I542" s="16"/>
      <c r="K542" s="16"/>
      <c r="M542" s="16"/>
      <c r="O542" s="16"/>
      <c r="Q542" s="16"/>
      <c r="R542" s="16"/>
      <c r="T542" s="16"/>
      <c r="V542" s="16"/>
      <c r="X542" s="16"/>
      <c r="Z542" s="16"/>
      <c r="AB542" s="16"/>
      <c r="AD542" s="16"/>
      <c r="AF542" s="16"/>
      <c r="AH542" s="16"/>
      <c r="AJ542" s="16"/>
      <c r="AL542" s="16"/>
      <c r="AN542" s="16"/>
      <c r="AP542" s="16"/>
      <c r="AR542" s="16"/>
      <c r="AT542" s="16"/>
      <c r="AV542" s="16"/>
    </row>
    <row r="543" spans="3:48" ht="12.75">
      <c r="C543" s="16"/>
      <c r="E543" s="16"/>
      <c r="G543" s="16"/>
      <c r="I543" s="16"/>
      <c r="K543" s="16"/>
      <c r="M543" s="16"/>
      <c r="O543" s="16"/>
      <c r="Q543" s="16"/>
      <c r="R543" s="16"/>
      <c r="T543" s="16"/>
      <c r="V543" s="16"/>
      <c r="X543" s="16"/>
      <c r="Z543" s="16"/>
      <c r="AB543" s="16"/>
      <c r="AD543" s="16"/>
      <c r="AF543" s="16"/>
      <c r="AH543" s="16"/>
      <c r="AJ543" s="16"/>
      <c r="AL543" s="16"/>
      <c r="AN543" s="16"/>
      <c r="AP543" s="16"/>
      <c r="AR543" s="16"/>
      <c r="AT543" s="16"/>
      <c r="AV543" s="16"/>
    </row>
    <row r="544" spans="3:48" ht="12.75">
      <c r="C544" s="16"/>
      <c r="E544" s="16"/>
      <c r="G544" s="16"/>
      <c r="I544" s="16"/>
      <c r="K544" s="16"/>
      <c r="M544" s="16"/>
      <c r="O544" s="16"/>
      <c r="Q544" s="16"/>
      <c r="R544" s="16"/>
      <c r="T544" s="16"/>
      <c r="V544" s="16"/>
      <c r="X544" s="16"/>
      <c r="Z544" s="16"/>
      <c r="AB544" s="16"/>
      <c r="AD544" s="16"/>
      <c r="AF544" s="16"/>
      <c r="AH544" s="16"/>
      <c r="AJ544" s="16"/>
      <c r="AL544" s="16"/>
      <c r="AN544" s="16"/>
      <c r="AP544" s="16"/>
      <c r="AR544" s="16"/>
      <c r="AT544" s="16"/>
      <c r="AV544" s="16"/>
    </row>
    <row r="545" spans="3:48" ht="12.75">
      <c r="C545" s="16"/>
      <c r="E545" s="16"/>
      <c r="G545" s="16"/>
      <c r="I545" s="16"/>
      <c r="K545" s="16"/>
      <c r="M545" s="16"/>
      <c r="O545" s="16"/>
      <c r="Q545" s="16"/>
      <c r="R545" s="16"/>
      <c r="T545" s="16"/>
      <c r="V545" s="16"/>
      <c r="X545" s="16"/>
      <c r="Z545" s="16"/>
      <c r="AB545" s="16"/>
      <c r="AD545" s="16"/>
      <c r="AF545" s="16"/>
      <c r="AH545" s="16"/>
      <c r="AJ545" s="16"/>
      <c r="AL545" s="16"/>
      <c r="AN545" s="16"/>
      <c r="AP545" s="16"/>
      <c r="AR545" s="16"/>
      <c r="AT545" s="16"/>
      <c r="AV545" s="16"/>
    </row>
    <row r="546" spans="3:48" ht="12.75">
      <c r="C546" s="16"/>
      <c r="E546" s="16"/>
      <c r="G546" s="16"/>
      <c r="I546" s="16"/>
      <c r="K546" s="16"/>
      <c r="M546" s="16"/>
      <c r="O546" s="16"/>
      <c r="Q546" s="16"/>
      <c r="R546" s="16"/>
      <c r="T546" s="16"/>
      <c r="V546" s="16"/>
      <c r="X546" s="16"/>
      <c r="Z546" s="16"/>
      <c r="AB546" s="16"/>
      <c r="AD546" s="16"/>
      <c r="AF546" s="16"/>
      <c r="AH546" s="16"/>
      <c r="AJ546" s="16"/>
      <c r="AL546" s="16"/>
      <c r="AN546" s="16"/>
      <c r="AP546" s="16"/>
      <c r="AR546" s="16"/>
      <c r="AT546" s="16"/>
      <c r="AV546" s="16"/>
    </row>
    <row r="547" spans="3:48" ht="12.75">
      <c r="C547" s="16"/>
      <c r="E547" s="16"/>
      <c r="G547" s="16"/>
      <c r="I547" s="16"/>
      <c r="K547" s="16"/>
      <c r="M547" s="16"/>
      <c r="O547" s="16"/>
      <c r="Q547" s="16"/>
      <c r="R547" s="16"/>
      <c r="T547" s="16"/>
      <c r="V547" s="16"/>
      <c r="X547" s="16"/>
      <c r="Z547" s="16"/>
      <c r="AB547" s="16"/>
      <c r="AD547" s="16"/>
      <c r="AF547" s="16"/>
      <c r="AH547" s="16"/>
      <c r="AJ547" s="16"/>
      <c r="AL547" s="16"/>
      <c r="AN547" s="16"/>
      <c r="AP547" s="16"/>
      <c r="AR547" s="16"/>
      <c r="AT547" s="16"/>
      <c r="AV547" s="16"/>
    </row>
    <row r="548" spans="3:48" ht="12.75">
      <c r="C548" s="16"/>
      <c r="E548" s="16"/>
      <c r="G548" s="16"/>
      <c r="I548" s="16"/>
      <c r="K548" s="16"/>
      <c r="M548" s="16"/>
      <c r="O548" s="16"/>
      <c r="Q548" s="16"/>
      <c r="R548" s="16"/>
      <c r="T548" s="16"/>
      <c r="V548" s="16"/>
      <c r="X548" s="16"/>
      <c r="Z548" s="16"/>
      <c r="AB548" s="16"/>
      <c r="AD548" s="16"/>
      <c r="AF548" s="16"/>
      <c r="AH548" s="16"/>
      <c r="AJ548" s="16"/>
      <c r="AL548" s="16"/>
      <c r="AN548" s="16"/>
      <c r="AP548" s="16"/>
      <c r="AR548" s="16"/>
      <c r="AT548" s="16"/>
      <c r="AV548" s="16"/>
    </row>
    <row r="549" spans="3:48" ht="12.75">
      <c r="C549" s="16"/>
      <c r="E549" s="16"/>
      <c r="G549" s="16"/>
      <c r="I549" s="16"/>
      <c r="K549" s="16"/>
      <c r="M549" s="16"/>
      <c r="O549" s="16"/>
      <c r="Q549" s="16"/>
      <c r="R549" s="16"/>
      <c r="T549" s="16"/>
      <c r="V549" s="16"/>
      <c r="X549" s="16"/>
      <c r="Z549" s="16"/>
      <c r="AB549" s="16"/>
      <c r="AD549" s="16"/>
      <c r="AF549" s="16"/>
      <c r="AH549" s="16"/>
      <c r="AJ549" s="16"/>
      <c r="AL549" s="16"/>
      <c r="AN549" s="16"/>
      <c r="AP549" s="16"/>
      <c r="AR549" s="16"/>
      <c r="AT549" s="16"/>
      <c r="AV549" s="16"/>
    </row>
    <row r="550" spans="3:48" ht="12.75">
      <c r="C550" s="16"/>
      <c r="E550" s="16"/>
      <c r="G550" s="16"/>
      <c r="I550" s="16"/>
      <c r="K550" s="16"/>
      <c r="M550" s="16"/>
      <c r="O550" s="16"/>
      <c r="Q550" s="16"/>
      <c r="R550" s="16"/>
      <c r="T550" s="16"/>
      <c r="V550" s="16"/>
      <c r="X550" s="16"/>
      <c r="Z550" s="16"/>
      <c r="AB550" s="16"/>
      <c r="AD550" s="16"/>
      <c r="AF550" s="16"/>
      <c r="AH550" s="16"/>
      <c r="AJ550" s="16"/>
      <c r="AL550" s="16"/>
      <c r="AN550" s="16"/>
      <c r="AP550" s="16"/>
      <c r="AR550" s="16"/>
      <c r="AT550" s="16"/>
      <c r="AV550" s="16"/>
    </row>
    <row r="551" spans="3:48" ht="12.75">
      <c r="C551" s="16"/>
      <c r="E551" s="16"/>
      <c r="G551" s="16"/>
      <c r="I551" s="16"/>
      <c r="K551" s="16"/>
      <c r="M551" s="16"/>
      <c r="O551" s="16"/>
      <c r="Q551" s="16"/>
      <c r="R551" s="16"/>
      <c r="T551" s="16"/>
      <c r="V551" s="16"/>
      <c r="X551" s="16"/>
      <c r="Z551" s="16"/>
      <c r="AB551" s="16"/>
      <c r="AD551" s="16"/>
      <c r="AF551" s="16"/>
      <c r="AH551" s="16"/>
      <c r="AJ551" s="16"/>
      <c r="AL551" s="16"/>
      <c r="AN551" s="16"/>
      <c r="AP551" s="16"/>
      <c r="AR551" s="16"/>
      <c r="AT551" s="16"/>
      <c r="AV551" s="16"/>
    </row>
    <row r="552" spans="3:48" ht="12.75">
      <c r="C552" s="16"/>
      <c r="E552" s="16"/>
      <c r="G552" s="16"/>
      <c r="I552" s="16"/>
      <c r="K552" s="16"/>
      <c r="M552" s="16"/>
      <c r="O552" s="16"/>
      <c r="Q552" s="16"/>
      <c r="R552" s="16"/>
      <c r="T552" s="16"/>
      <c r="V552" s="16"/>
      <c r="X552" s="16"/>
      <c r="Z552" s="16"/>
      <c r="AB552" s="16"/>
      <c r="AD552" s="16"/>
      <c r="AF552" s="16"/>
      <c r="AH552" s="16"/>
      <c r="AJ552" s="16"/>
      <c r="AL552" s="16"/>
      <c r="AN552" s="16"/>
      <c r="AP552" s="16"/>
      <c r="AR552" s="16"/>
      <c r="AT552" s="16"/>
      <c r="AV552" s="16"/>
    </row>
    <row r="553" spans="3:48" ht="12.75">
      <c r="C553" s="16"/>
      <c r="E553" s="16"/>
      <c r="G553" s="16"/>
      <c r="I553" s="16"/>
      <c r="K553" s="16"/>
      <c r="M553" s="16"/>
      <c r="O553" s="16"/>
      <c r="Q553" s="16"/>
      <c r="R553" s="16"/>
      <c r="T553" s="16"/>
      <c r="V553" s="16"/>
      <c r="X553" s="16"/>
      <c r="Z553" s="16"/>
      <c r="AB553" s="16"/>
      <c r="AD553" s="16"/>
      <c r="AF553" s="16"/>
      <c r="AH553" s="16"/>
      <c r="AJ553" s="16"/>
      <c r="AL553" s="16"/>
      <c r="AN553" s="16"/>
      <c r="AP553" s="16"/>
      <c r="AR553" s="16"/>
      <c r="AT553" s="16"/>
      <c r="AV553" s="16"/>
    </row>
    <row r="554" spans="3:48" ht="12.75">
      <c r="C554" s="16"/>
      <c r="E554" s="16"/>
      <c r="G554" s="16"/>
      <c r="I554" s="16"/>
      <c r="K554" s="16"/>
      <c r="M554" s="16"/>
      <c r="O554" s="16"/>
      <c r="Q554" s="16"/>
      <c r="R554" s="16"/>
      <c r="T554" s="16"/>
      <c r="V554" s="16"/>
      <c r="X554" s="16"/>
      <c r="Z554" s="16"/>
      <c r="AB554" s="16"/>
      <c r="AD554" s="16"/>
      <c r="AF554" s="16"/>
      <c r="AH554" s="16"/>
      <c r="AJ554" s="16"/>
      <c r="AL554" s="16"/>
      <c r="AN554" s="16"/>
      <c r="AP554" s="16"/>
      <c r="AR554" s="16"/>
      <c r="AT554" s="16"/>
      <c r="AV554" s="16"/>
    </row>
    <row r="555" spans="3:48" ht="12.75">
      <c r="C555" s="16"/>
      <c r="E555" s="16"/>
      <c r="G555" s="16"/>
      <c r="I555" s="16"/>
      <c r="K555" s="16"/>
      <c r="M555" s="16"/>
      <c r="O555" s="16"/>
      <c r="Q555" s="16"/>
      <c r="R555" s="16"/>
      <c r="T555" s="16"/>
      <c r="V555" s="16"/>
      <c r="X555" s="16"/>
      <c r="Z555" s="16"/>
      <c r="AB555" s="16"/>
      <c r="AD555" s="16"/>
      <c r="AF555" s="16"/>
      <c r="AH555" s="16"/>
      <c r="AJ555" s="16"/>
      <c r="AL555" s="16"/>
      <c r="AN555" s="16"/>
      <c r="AP555" s="16"/>
      <c r="AR555" s="16"/>
      <c r="AT555" s="16"/>
      <c r="AV555" s="16"/>
    </row>
    <row r="556" spans="3:48" ht="12.75">
      <c r="C556" s="16"/>
      <c r="E556" s="16"/>
      <c r="G556" s="16"/>
      <c r="I556" s="16"/>
      <c r="K556" s="16"/>
      <c r="M556" s="16"/>
      <c r="O556" s="16"/>
      <c r="Q556" s="16"/>
      <c r="R556" s="16"/>
      <c r="T556" s="16"/>
      <c r="V556" s="16"/>
      <c r="X556" s="16"/>
      <c r="Z556" s="16"/>
      <c r="AB556" s="16"/>
      <c r="AD556" s="16"/>
      <c r="AF556" s="16"/>
      <c r="AH556" s="16"/>
      <c r="AJ556" s="16"/>
      <c r="AL556" s="16"/>
      <c r="AN556" s="16"/>
      <c r="AP556" s="16"/>
      <c r="AR556" s="16"/>
      <c r="AT556" s="16"/>
      <c r="AV556" s="16"/>
    </row>
    <row r="557" spans="3:48" ht="12.75">
      <c r="C557" s="16"/>
      <c r="E557" s="16"/>
      <c r="G557" s="16"/>
      <c r="I557" s="16"/>
      <c r="K557" s="16"/>
      <c r="M557" s="16"/>
      <c r="O557" s="16"/>
      <c r="Q557" s="16"/>
      <c r="R557" s="16"/>
      <c r="T557" s="16"/>
      <c r="V557" s="16"/>
      <c r="X557" s="16"/>
      <c r="Z557" s="16"/>
      <c r="AB557" s="16"/>
      <c r="AD557" s="16"/>
      <c r="AF557" s="16"/>
      <c r="AH557" s="16"/>
      <c r="AJ557" s="16"/>
      <c r="AL557" s="16"/>
      <c r="AN557" s="16"/>
      <c r="AP557" s="16"/>
      <c r="AR557" s="16"/>
      <c r="AT557" s="16"/>
      <c r="AV557" s="16"/>
    </row>
    <row r="558" spans="3:48" ht="12.75">
      <c r="C558" s="16"/>
      <c r="E558" s="16"/>
      <c r="G558" s="16"/>
      <c r="I558" s="16"/>
      <c r="K558" s="16"/>
      <c r="M558" s="16"/>
      <c r="O558" s="16"/>
      <c r="Q558" s="16"/>
      <c r="R558" s="16"/>
      <c r="T558" s="16"/>
      <c r="V558" s="16"/>
      <c r="X558" s="16"/>
      <c r="Z558" s="16"/>
      <c r="AB558" s="16"/>
      <c r="AD558" s="16"/>
      <c r="AF558" s="16"/>
      <c r="AH558" s="16"/>
      <c r="AJ558" s="16"/>
      <c r="AL558" s="16"/>
      <c r="AN558" s="16"/>
      <c r="AP558" s="16"/>
      <c r="AR558" s="16"/>
      <c r="AT558" s="16"/>
      <c r="AV558" s="16"/>
    </row>
    <row r="559" spans="3:48" ht="12.75">
      <c r="C559" s="16"/>
      <c r="E559" s="16"/>
      <c r="G559" s="16"/>
      <c r="I559" s="16"/>
      <c r="K559" s="16"/>
      <c r="M559" s="16"/>
      <c r="O559" s="16"/>
      <c r="Q559" s="16"/>
      <c r="R559" s="16"/>
      <c r="T559" s="16"/>
      <c r="V559" s="16"/>
      <c r="X559" s="16"/>
      <c r="Z559" s="16"/>
      <c r="AB559" s="16"/>
      <c r="AD559" s="16"/>
      <c r="AF559" s="16"/>
      <c r="AH559" s="16"/>
      <c r="AJ559" s="16"/>
      <c r="AL559" s="16"/>
      <c r="AN559" s="16"/>
      <c r="AP559" s="16"/>
      <c r="AR559" s="16"/>
      <c r="AT559" s="16"/>
      <c r="AV559" s="16"/>
    </row>
    <row r="560" spans="3:48" ht="12.75">
      <c r="C560" s="16"/>
      <c r="E560" s="16"/>
      <c r="G560" s="16"/>
      <c r="I560" s="16"/>
      <c r="K560" s="16"/>
      <c r="M560" s="16"/>
      <c r="O560" s="16"/>
      <c r="Q560" s="16"/>
      <c r="R560" s="16"/>
      <c r="T560" s="16"/>
      <c r="V560" s="16"/>
      <c r="X560" s="16"/>
      <c r="Z560" s="16"/>
      <c r="AB560" s="16"/>
      <c r="AD560" s="16"/>
      <c r="AF560" s="16"/>
      <c r="AH560" s="16"/>
      <c r="AJ560" s="16"/>
      <c r="AL560" s="16"/>
      <c r="AN560" s="16"/>
      <c r="AP560" s="16"/>
      <c r="AR560" s="16"/>
      <c r="AT560" s="16"/>
      <c r="AV560" s="16"/>
    </row>
    <row r="561" spans="3:48" ht="12.75">
      <c r="C561" s="16"/>
      <c r="E561" s="16"/>
      <c r="G561" s="16"/>
      <c r="I561" s="16"/>
      <c r="K561" s="16"/>
      <c r="M561" s="16"/>
      <c r="O561" s="16"/>
      <c r="Q561" s="16"/>
      <c r="R561" s="16"/>
      <c r="T561" s="16"/>
      <c r="V561" s="16"/>
      <c r="X561" s="16"/>
      <c r="Z561" s="16"/>
      <c r="AB561" s="16"/>
      <c r="AD561" s="16"/>
      <c r="AF561" s="16"/>
      <c r="AH561" s="16"/>
      <c r="AJ561" s="16"/>
      <c r="AL561" s="16"/>
      <c r="AN561" s="16"/>
      <c r="AP561" s="16"/>
      <c r="AR561" s="16"/>
      <c r="AT561" s="16"/>
      <c r="AV561" s="16"/>
    </row>
    <row r="562" spans="3:48" ht="12.75">
      <c r="C562" s="16"/>
      <c r="E562" s="16"/>
      <c r="G562" s="16"/>
      <c r="I562" s="16"/>
      <c r="K562" s="16"/>
      <c r="M562" s="16"/>
      <c r="O562" s="16"/>
      <c r="Q562" s="16"/>
      <c r="R562" s="16"/>
      <c r="T562" s="16"/>
      <c r="V562" s="16"/>
      <c r="X562" s="16"/>
      <c r="Z562" s="16"/>
      <c r="AB562" s="16"/>
      <c r="AD562" s="16"/>
      <c r="AF562" s="16"/>
      <c r="AH562" s="16"/>
      <c r="AJ562" s="16"/>
      <c r="AL562" s="16"/>
      <c r="AN562" s="16"/>
      <c r="AP562" s="16"/>
      <c r="AR562" s="16"/>
      <c r="AT562" s="16"/>
      <c r="AV562" s="16"/>
    </row>
    <row r="563" spans="3:48" ht="12.75">
      <c r="C563" s="16"/>
      <c r="E563" s="16"/>
      <c r="G563" s="16"/>
      <c r="I563" s="16"/>
      <c r="K563" s="16"/>
      <c r="M563" s="16"/>
      <c r="O563" s="16"/>
      <c r="Q563" s="16"/>
      <c r="R563" s="16"/>
      <c r="T563" s="16"/>
      <c r="V563" s="16"/>
      <c r="X563" s="16"/>
      <c r="Z563" s="16"/>
      <c r="AB563" s="16"/>
      <c r="AD563" s="16"/>
      <c r="AF563" s="16"/>
      <c r="AH563" s="16"/>
      <c r="AJ563" s="16"/>
      <c r="AL563" s="16"/>
      <c r="AN563" s="16"/>
      <c r="AP563" s="16"/>
      <c r="AR563" s="16"/>
      <c r="AT563" s="16"/>
      <c r="AV563" s="16"/>
    </row>
    <row r="564" spans="3:48" ht="12.75">
      <c r="C564" s="16"/>
      <c r="E564" s="16"/>
      <c r="G564" s="16"/>
      <c r="I564" s="16"/>
      <c r="K564" s="16"/>
      <c r="M564" s="16"/>
      <c r="O564" s="16"/>
      <c r="Q564" s="16"/>
      <c r="R564" s="16"/>
      <c r="T564" s="16"/>
      <c r="V564" s="16"/>
      <c r="X564" s="16"/>
      <c r="Z564" s="16"/>
      <c r="AB564" s="16"/>
      <c r="AD564" s="16"/>
      <c r="AF564" s="16"/>
      <c r="AH564" s="16"/>
      <c r="AJ564" s="16"/>
      <c r="AL564" s="16"/>
      <c r="AN564" s="16"/>
      <c r="AP564" s="16"/>
      <c r="AR564" s="16"/>
      <c r="AT564" s="16"/>
      <c r="AV564" s="16"/>
    </row>
    <row r="565" spans="3:48" ht="12.75">
      <c r="C565" s="16"/>
      <c r="E565" s="16"/>
      <c r="G565" s="16"/>
      <c r="I565" s="16"/>
      <c r="K565" s="16"/>
      <c r="M565" s="16"/>
      <c r="O565" s="16"/>
      <c r="Q565" s="16"/>
      <c r="R565" s="16"/>
      <c r="T565" s="16"/>
      <c r="V565" s="16"/>
      <c r="X565" s="16"/>
      <c r="Z565" s="16"/>
      <c r="AB565" s="16"/>
      <c r="AD565" s="16"/>
      <c r="AF565" s="16"/>
      <c r="AH565" s="16"/>
      <c r="AJ565" s="16"/>
      <c r="AL565" s="16"/>
      <c r="AN565" s="16"/>
      <c r="AP565" s="16"/>
      <c r="AR565" s="16"/>
      <c r="AT565" s="16"/>
      <c r="AV565" s="16"/>
    </row>
    <row r="566" spans="3:48" ht="12.75">
      <c r="C566" s="16"/>
      <c r="E566" s="16"/>
      <c r="G566" s="16"/>
      <c r="I566" s="16"/>
      <c r="K566" s="16"/>
      <c r="M566" s="16"/>
      <c r="O566" s="16"/>
      <c r="Q566" s="16"/>
      <c r="R566" s="16"/>
      <c r="T566" s="16"/>
      <c r="V566" s="16"/>
      <c r="X566" s="16"/>
      <c r="Z566" s="16"/>
      <c r="AB566" s="16"/>
      <c r="AD566" s="16"/>
      <c r="AF566" s="16"/>
      <c r="AH566" s="16"/>
      <c r="AJ566" s="16"/>
      <c r="AL566" s="16"/>
      <c r="AN566" s="16"/>
      <c r="AP566" s="16"/>
      <c r="AR566" s="16"/>
      <c r="AT566" s="16"/>
      <c r="AV566" s="16"/>
    </row>
    <row r="567" spans="3:48" ht="12.75">
      <c r="C567" s="16"/>
      <c r="E567" s="16"/>
      <c r="G567" s="16"/>
      <c r="I567" s="16"/>
      <c r="K567" s="16"/>
      <c r="M567" s="16"/>
      <c r="O567" s="16"/>
      <c r="Q567" s="16"/>
      <c r="R567" s="16"/>
      <c r="T567" s="16"/>
      <c r="V567" s="16"/>
      <c r="X567" s="16"/>
      <c r="Z567" s="16"/>
      <c r="AB567" s="16"/>
      <c r="AD567" s="16"/>
      <c r="AF567" s="16"/>
      <c r="AH567" s="16"/>
      <c r="AJ567" s="16"/>
      <c r="AL567" s="16"/>
      <c r="AN567" s="16"/>
      <c r="AP567" s="16"/>
      <c r="AR567" s="16"/>
      <c r="AT567" s="16"/>
      <c r="AV567" s="16"/>
    </row>
    <row r="568" spans="3:48" ht="12.75">
      <c r="C568" s="16"/>
      <c r="E568" s="16"/>
      <c r="G568" s="16"/>
      <c r="I568" s="16"/>
      <c r="K568" s="16"/>
      <c r="M568" s="16"/>
      <c r="O568" s="16"/>
      <c r="Q568" s="16"/>
      <c r="R568" s="16"/>
      <c r="T568" s="16"/>
      <c r="V568" s="16"/>
      <c r="X568" s="16"/>
      <c r="Z568" s="16"/>
      <c r="AB568" s="16"/>
      <c r="AD568" s="16"/>
      <c r="AF568" s="16"/>
      <c r="AH568" s="16"/>
      <c r="AJ568" s="16"/>
      <c r="AL568" s="16"/>
      <c r="AN568" s="16"/>
      <c r="AP568" s="16"/>
      <c r="AR568" s="16"/>
      <c r="AT568" s="16"/>
      <c r="AV568" s="16"/>
    </row>
    <row r="569" spans="3:48" ht="12.75">
      <c r="C569" s="16"/>
      <c r="E569" s="16"/>
      <c r="G569" s="16"/>
      <c r="I569" s="16"/>
      <c r="K569" s="16"/>
      <c r="M569" s="16"/>
      <c r="O569" s="16"/>
      <c r="Q569" s="16"/>
      <c r="R569" s="16"/>
      <c r="T569" s="16"/>
      <c r="V569" s="16"/>
      <c r="X569" s="16"/>
      <c r="Z569" s="16"/>
      <c r="AB569" s="16"/>
      <c r="AD569" s="16"/>
      <c r="AF569" s="16"/>
      <c r="AH569" s="16"/>
      <c r="AJ569" s="16"/>
      <c r="AL569" s="16"/>
      <c r="AN569" s="16"/>
      <c r="AP569" s="16"/>
      <c r="AR569" s="16"/>
      <c r="AT569" s="16"/>
      <c r="AV569" s="16"/>
    </row>
    <row r="570" spans="3:48" ht="12.75">
      <c r="C570" s="16"/>
      <c r="E570" s="16"/>
      <c r="G570" s="16"/>
      <c r="I570" s="16"/>
      <c r="K570" s="16"/>
      <c r="M570" s="16"/>
      <c r="O570" s="16"/>
      <c r="Q570" s="16"/>
      <c r="R570" s="16"/>
      <c r="T570" s="16"/>
      <c r="V570" s="16"/>
      <c r="X570" s="16"/>
      <c r="Z570" s="16"/>
      <c r="AB570" s="16"/>
      <c r="AD570" s="16"/>
      <c r="AF570" s="16"/>
      <c r="AH570" s="16"/>
      <c r="AJ570" s="16"/>
      <c r="AL570" s="16"/>
      <c r="AN570" s="16"/>
      <c r="AP570" s="16"/>
      <c r="AR570" s="16"/>
      <c r="AT570" s="16"/>
      <c r="AV570" s="16"/>
    </row>
    <row r="571" spans="3:48" ht="12.75">
      <c r="C571" s="16"/>
      <c r="E571" s="16"/>
      <c r="G571" s="16"/>
      <c r="I571" s="16"/>
      <c r="K571" s="16"/>
      <c r="M571" s="16"/>
      <c r="O571" s="16"/>
      <c r="Q571" s="16"/>
      <c r="R571" s="16"/>
      <c r="T571" s="16"/>
      <c r="V571" s="16"/>
      <c r="X571" s="16"/>
      <c r="Z571" s="16"/>
      <c r="AB571" s="16"/>
      <c r="AD571" s="16"/>
      <c r="AF571" s="16"/>
      <c r="AH571" s="16"/>
      <c r="AJ571" s="16"/>
      <c r="AL571" s="16"/>
      <c r="AN571" s="16"/>
      <c r="AP571" s="16"/>
      <c r="AR571" s="16"/>
      <c r="AT571" s="16"/>
      <c r="AV571" s="16"/>
    </row>
    <row r="572" spans="3:48" ht="12.75">
      <c r="C572" s="16"/>
      <c r="E572" s="16"/>
      <c r="G572" s="16"/>
      <c r="I572" s="16"/>
      <c r="K572" s="16"/>
      <c r="M572" s="16"/>
      <c r="O572" s="16"/>
      <c r="Q572" s="16"/>
      <c r="R572" s="16"/>
      <c r="T572" s="16"/>
      <c r="V572" s="16"/>
      <c r="X572" s="16"/>
      <c r="Z572" s="16"/>
      <c r="AB572" s="16"/>
      <c r="AD572" s="16"/>
      <c r="AF572" s="16"/>
      <c r="AH572" s="16"/>
      <c r="AJ572" s="16"/>
      <c r="AL572" s="16"/>
      <c r="AN572" s="16"/>
      <c r="AP572" s="16"/>
      <c r="AR572" s="16"/>
      <c r="AT572" s="16"/>
      <c r="AV572" s="16"/>
    </row>
    <row r="573" spans="3:48" ht="12.75">
      <c r="C573" s="16"/>
      <c r="E573" s="16"/>
      <c r="G573" s="16"/>
      <c r="I573" s="16"/>
      <c r="K573" s="16"/>
      <c r="M573" s="16"/>
      <c r="O573" s="16"/>
      <c r="Q573" s="16"/>
      <c r="R573" s="16"/>
      <c r="T573" s="16"/>
      <c r="V573" s="16"/>
      <c r="X573" s="16"/>
      <c r="Z573" s="16"/>
      <c r="AB573" s="16"/>
      <c r="AD573" s="16"/>
      <c r="AF573" s="16"/>
      <c r="AH573" s="16"/>
      <c r="AJ573" s="16"/>
      <c r="AL573" s="16"/>
      <c r="AN573" s="16"/>
      <c r="AP573" s="16"/>
      <c r="AR573" s="16"/>
      <c r="AT573" s="16"/>
      <c r="AV573" s="16"/>
    </row>
    <row r="574" spans="3:48" ht="12.75">
      <c r="C574" s="16"/>
      <c r="E574" s="16"/>
      <c r="G574" s="16"/>
      <c r="I574" s="16"/>
      <c r="K574" s="16"/>
      <c r="M574" s="16"/>
      <c r="O574" s="16"/>
      <c r="Q574" s="16"/>
      <c r="R574" s="16"/>
      <c r="T574" s="16"/>
      <c r="V574" s="16"/>
      <c r="X574" s="16"/>
      <c r="Z574" s="16"/>
      <c r="AB574" s="16"/>
      <c r="AD574" s="16"/>
      <c r="AF574" s="16"/>
      <c r="AH574" s="16"/>
      <c r="AJ574" s="16"/>
      <c r="AL574" s="16"/>
      <c r="AN574" s="16"/>
      <c r="AP574" s="16"/>
      <c r="AR574" s="16"/>
      <c r="AT574" s="16"/>
      <c r="AV574" s="16"/>
    </row>
    <row r="575" spans="3:48" ht="12.75">
      <c r="C575" s="16"/>
      <c r="E575" s="16"/>
      <c r="G575" s="16"/>
      <c r="I575" s="16"/>
      <c r="K575" s="16"/>
      <c r="M575" s="16"/>
      <c r="O575" s="16"/>
      <c r="Q575" s="16"/>
      <c r="R575" s="16"/>
      <c r="T575" s="16"/>
      <c r="V575" s="16"/>
      <c r="X575" s="16"/>
      <c r="Z575" s="16"/>
      <c r="AB575" s="16"/>
      <c r="AD575" s="16"/>
      <c r="AF575" s="16"/>
      <c r="AH575" s="16"/>
      <c r="AJ575" s="16"/>
      <c r="AL575" s="16"/>
      <c r="AN575" s="16"/>
      <c r="AP575" s="16"/>
      <c r="AR575" s="16"/>
      <c r="AT575" s="16"/>
      <c r="AV575" s="16"/>
    </row>
    <row r="576" spans="3:48" ht="12.75">
      <c r="C576" s="16"/>
      <c r="E576" s="16"/>
      <c r="G576" s="16"/>
      <c r="I576" s="16"/>
      <c r="K576" s="16"/>
      <c r="M576" s="16"/>
      <c r="O576" s="16"/>
      <c r="Q576" s="16"/>
      <c r="R576" s="16"/>
      <c r="T576" s="16"/>
      <c r="V576" s="16"/>
      <c r="X576" s="16"/>
      <c r="Z576" s="16"/>
      <c r="AB576" s="16"/>
      <c r="AD576" s="16"/>
      <c r="AF576" s="16"/>
      <c r="AH576" s="16"/>
      <c r="AJ576" s="16"/>
      <c r="AL576" s="16"/>
      <c r="AN576" s="16"/>
      <c r="AP576" s="16"/>
      <c r="AR576" s="16"/>
      <c r="AT576" s="16"/>
      <c r="AV576" s="16"/>
    </row>
    <row r="577" spans="3:48" ht="12.75">
      <c r="C577" s="16"/>
      <c r="E577" s="16"/>
      <c r="G577" s="16"/>
      <c r="I577" s="16"/>
      <c r="K577" s="16"/>
      <c r="M577" s="16"/>
      <c r="O577" s="16"/>
      <c r="Q577" s="16"/>
      <c r="R577" s="16"/>
      <c r="T577" s="16"/>
      <c r="V577" s="16"/>
      <c r="X577" s="16"/>
      <c r="Z577" s="16"/>
      <c r="AB577" s="16"/>
      <c r="AD577" s="16"/>
      <c r="AF577" s="16"/>
      <c r="AH577" s="16"/>
      <c r="AJ577" s="16"/>
      <c r="AL577" s="16"/>
      <c r="AN577" s="16"/>
      <c r="AP577" s="16"/>
      <c r="AR577" s="16"/>
      <c r="AT577" s="16"/>
      <c r="AV577" s="16"/>
    </row>
    <row r="578" spans="3:48" ht="12.75">
      <c r="C578" s="16"/>
      <c r="E578" s="16"/>
      <c r="G578" s="16"/>
      <c r="I578" s="16"/>
      <c r="K578" s="16"/>
      <c r="M578" s="16"/>
      <c r="O578" s="16"/>
      <c r="Q578" s="16"/>
      <c r="R578" s="16"/>
      <c r="T578" s="16"/>
      <c r="V578" s="16"/>
      <c r="X578" s="16"/>
      <c r="Z578" s="16"/>
      <c r="AB578" s="16"/>
      <c r="AD578" s="16"/>
      <c r="AF578" s="16"/>
      <c r="AH578" s="16"/>
      <c r="AJ578" s="16"/>
      <c r="AL578" s="16"/>
      <c r="AN578" s="16"/>
      <c r="AP578" s="16"/>
      <c r="AR578" s="16"/>
      <c r="AT578" s="16"/>
      <c r="AV578" s="16"/>
    </row>
    <row r="579" spans="3:48" ht="12.75">
      <c r="C579" s="16"/>
      <c r="E579" s="16"/>
      <c r="G579" s="16"/>
      <c r="I579" s="16"/>
      <c r="K579" s="16"/>
      <c r="M579" s="16"/>
      <c r="O579" s="16"/>
      <c r="Q579" s="16"/>
      <c r="R579" s="16"/>
      <c r="T579" s="16"/>
      <c r="V579" s="16"/>
      <c r="X579" s="16"/>
      <c r="Z579" s="16"/>
      <c r="AB579" s="16"/>
      <c r="AD579" s="16"/>
      <c r="AF579" s="16"/>
      <c r="AH579" s="16"/>
      <c r="AJ579" s="16"/>
      <c r="AL579" s="16"/>
      <c r="AN579" s="16"/>
      <c r="AP579" s="16"/>
      <c r="AR579" s="16"/>
      <c r="AT579" s="16"/>
      <c r="AV579" s="16"/>
    </row>
    <row r="580" spans="3:48" ht="12.75">
      <c r="C580" s="16"/>
      <c r="E580" s="16"/>
      <c r="G580" s="16"/>
      <c r="I580" s="16"/>
      <c r="K580" s="16"/>
      <c r="M580" s="16"/>
      <c r="O580" s="16"/>
      <c r="Q580" s="16"/>
      <c r="R580" s="16"/>
      <c r="T580" s="16"/>
      <c r="V580" s="16"/>
      <c r="X580" s="16"/>
      <c r="Z580" s="16"/>
      <c r="AB580" s="16"/>
      <c r="AD580" s="16"/>
      <c r="AF580" s="16"/>
      <c r="AH580" s="16"/>
      <c r="AJ580" s="16"/>
      <c r="AL580" s="16"/>
      <c r="AN580" s="16"/>
      <c r="AP580" s="16"/>
      <c r="AR580" s="16"/>
      <c r="AT580" s="16"/>
      <c r="AV580" s="16"/>
    </row>
    <row r="581" spans="3:48" ht="12.75">
      <c r="C581" s="16"/>
      <c r="E581" s="16"/>
      <c r="G581" s="16"/>
      <c r="I581" s="16"/>
      <c r="K581" s="16"/>
      <c r="M581" s="16"/>
      <c r="O581" s="16"/>
      <c r="Q581" s="16"/>
      <c r="R581" s="16"/>
      <c r="T581" s="16"/>
      <c r="V581" s="16"/>
      <c r="X581" s="16"/>
      <c r="Z581" s="16"/>
      <c r="AB581" s="16"/>
      <c r="AD581" s="16"/>
      <c r="AF581" s="16"/>
      <c r="AH581" s="16"/>
      <c r="AJ581" s="16"/>
      <c r="AL581" s="16"/>
      <c r="AN581" s="16"/>
      <c r="AP581" s="16"/>
      <c r="AR581" s="16"/>
      <c r="AT581" s="16"/>
      <c r="AV581" s="16"/>
    </row>
    <row r="582" spans="3:48" ht="12.75">
      <c r="C582" s="16"/>
      <c r="E582" s="16"/>
      <c r="G582" s="16"/>
      <c r="I582" s="16"/>
      <c r="K582" s="16"/>
      <c r="M582" s="16"/>
      <c r="O582" s="16"/>
      <c r="Q582" s="16"/>
      <c r="R582" s="16"/>
      <c r="T582" s="16"/>
      <c r="V582" s="16"/>
      <c r="X582" s="16"/>
      <c r="Z582" s="16"/>
      <c r="AB582" s="16"/>
      <c r="AD582" s="16"/>
      <c r="AF582" s="16"/>
      <c r="AH582" s="16"/>
      <c r="AJ582" s="16"/>
      <c r="AL582" s="16"/>
      <c r="AN582" s="16"/>
      <c r="AP582" s="16"/>
      <c r="AR582" s="16"/>
      <c r="AT582" s="16"/>
      <c r="AV582" s="16"/>
    </row>
    <row r="583" spans="3:48" ht="12.75">
      <c r="C583" s="16"/>
      <c r="E583" s="16"/>
      <c r="G583" s="16"/>
      <c r="I583" s="16"/>
      <c r="K583" s="16"/>
      <c r="M583" s="16"/>
      <c r="O583" s="16"/>
      <c r="Q583" s="16"/>
      <c r="R583" s="16"/>
      <c r="T583" s="16"/>
      <c r="V583" s="16"/>
      <c r="X583" s="16"/>
      <c r="Z583" s="16"/>
      <c r="AB583" s="16"/>
      <c r="AD583" s="16"/>
      <c r="AF583" s="16"/>
      <c r="AH583" s="16"/>
      <c r="AJ583" s="16"/>
      <c r="AL583" s="16"/>
      <c r="AN583" s="16"/>
      <c r="AP583" s="16"/>
      <c r="AR583" s="16"/>
      <c r="AT583" s="16"/>
      <c r="AV583" s="16"/>
    </row>
    <row r="584" spans="3:48" ht="12.75">
      <c r="C584" s="16"/>
      <c r="E584" s="16"/>
      <c r="G584" s="16"/>
      <c r="I584" s="16"/>
      <c r="K584" s="16"/>
      <c r="M584" s="16"/>
      <c r="O584" s="16"/>
      <c r="Q584" s="16"/>
      <c r="R584" s="16"/>
      <c r="T584" s="16"/>
      <c r="V584" s="16"/>
      <c r="X584" s="16"/>
      <c r="Z584" s="16"/>
      <c r="AB584" s="16"/>
      <c r="AD584" s="16"/>
      <c r="AF584" s="16"/>
      <c r="AH584" s="16"/>
      <c r="AJ584" s="16"/>
      <c r="AL584" s="16"/>
      <c r="AN584" s="16"/>
      <c r="AP584" s="16"/>
      <c r="AR584" s="16"/>
      <c r="AT584" s="16"/>
      <c r="AV584" s="16"/>
    </row>
    <row r="585" spans="3:48" ht="12.75">
      <c r="C585" s="16"/>
      <c r="E585" s="16"/>
      <c r="G585" s="16"/>
      <c r="I585" s="16"/>
      <c r="K585" s="16"/>
      <c r="M585" s="16"/>
      <c r="O585" s="16"/>
      <c r="Q585" s="16"/>
      <c r="R585" s="16"/>
      <c r="T585" s="16"/>
      <c r="V585" s="16"/>
      <c r="X585" s="16"/>
      <c r="Z585" s="16"/>
      <c r="AB585" s="16"/>
      <c r="AD585" s="16"/>
      <c r="AF585" s="16"/>
      <c r="AH585" s="16"/>
      <c r="AJ585" s="16"/>
      <c r="AL585" s="16"/>
      <c r="AN585" s="16"/>
      <c r="AP585" s="16"/>
      <c r="AR585" s="16"/>
      <c r="AT585" s="16"/>
      <c r="AV585" s="16"/>
    </row>
    <row r="586" spans="3:48" ht="12.75">
      <c r="C586" s="16"/>
      <c r="E586" s="16"/>
      <c r="G586" s="16"/>
      <c r="I586" s="16"/>
      <c r="K586" s="16"/>
      <c r="M586" s="16"/>
      <c r="O586" s="16"/>
      <c r="Q586" s="16"/>
      <c r="R586" s="16"/>
      <c r="T586" s="16"/>
      <c r="V586" s="16"/>
      <c r="X586" s="16"/>
      <c r="Z586" s="16"/>
      <c r="AB586" s="16"/>
      <c r="AD586" s="16"/>
      <c r="AF586" s="16"/>
      <c r="AH586" s="16"/>
      <c r="AJ586" s="16"/>
      <c r="AL586" s="16"/>
      <c r="AN586" s="16"/>
      <c r="AP586" s="16"/>
      <c r="AR586" s="16"/>
      <c r="AT586" s="16"/>
      <c r="AV586" s="16"/>
    </row>
    <row r="587" spans="3:48" ht="12.75">
      <c r="C587" s="16"/>
      <c r="E587" s="16"/>
      <c r="G587" s="16"/>
      <c r="I587" s="16"/>
      <c r="K587" s="16"/>
      <c r="M587" s="16"/>
      <c r="O587" s="16"/>
      <c r="Q587" s="16"/>
      <c r="R587" s="16"/>
      <c r="T587" s="16"/>
      <c r="V587" s="16"/>
      <c r="X587" s="16"/>
      <c r="Z587" s="16"/>
      <c r="AB587" s="16"/>
      <c r="AD587" s="16"/>
      <c r="AF587" s="16"/>
      <c r="AH587" s="16"/>
      <c r="AJ587" s="16"/>
      <c r="AL587" s="16"/>
      <c r="AN587" s="16"/>
      <c r="AP587" s="16"/>
      <c r="AR587" s="16"/>
      <c r="AT587" s="16"/>
      <c r="AV587" s="16"/>
    </row>
    <row r="588" spans="3:48" ht="12.75">
      <c r="C588" s="16"/>
      <c r="E588" s="16"/>
      <c r="G588" s="16"/>
      <c r="I588" s="16"/>
      <c r="K588" s="16"/>
      <c r="M588" s="16"/>
      <c r="O588" s="16"/>
      <c r="Q588" s="16"/>
      <c r="R588" s="16"/>
      <c r="T588" s="16"/>
      <c r="V588" s="16"/>
      <c r="X588" s="16"/>
      <c r="Z588" s="16"/>
      <c r="AB588" s="16"/>
      <c r="AD588" s="16"/>
      <c r="AF588" s="16"/>
      <c r="AH588" s="16"/>
      <c r="AJ588" s="16"/>
      <c r="AL588" s="16"/>
      <c r="AN588" s="16"/>
      <c r="AP588" s="16"/>
      <c r="AR588" s="16"/>
      <c r="AT588" s="16"/>
      <c r="AV588" s="16"/>
    </row>
    <row r="589" spans="3:48" ht="12.75">
      <c r="C589" s="16"/>
      <c r="E589" s="16"/>
      <c r="G589" s="16"/>
      <c r="I589" s="16"/>
      <c r="K589" s="16"/>
      <c r="M589" s="16"/>
      <c r="O589" s="16"/>
      <c r="Q589" s="16"/>
      <c r="R589" s="16"/>
      <c r="T589" s="16"/>
      <c r="V589" s="16"/>
      <c r="X589" s="16"/>
      <c r="Z589" s="16"/>
      <c r="AB589" s="16"/>
      <c r="AD589" s="16"/>
      <c r="AF589" s="16"/>
      <c r="AH589" s="16"/>
      <c r="AJ589" s="16"/>
      <c r="AL589" s="16"/>
      <c r="AN589" s="16"/>
      <c r="AP589" s="16"/>
      <c r="AR589" s="16"/>
      <c r="AT589" s="16"/>
      <c r="AV589" s="16"/>
    </row>
    <row r="590" spans="3:48" ht="12.75">
      <c r="C590" s="16"/>
      <c r="E590" s="16"/>
      <c r="G590" s="16"/>
      <c r="I590" s="16"/>
      <c r="K590" s="16"/>
      <c r="M590" s="16"/>
      <c r="O590" s="16"/>
      <c r="Q590" s="16"/>
      <c r="R590" s="16"/>
      <c r="T590" s="16"/>
      <c r="V590" s="16"/>
      <c r="X590" s="16"/>
      <c r="Z590" s="16"/>
      <c r="AB590" s="16"/>
      <c r="AD590" s="16"/>
      <c r="AF590" s="16"/>
      <c r="AH590" s="16"/>
      <c r="AJ590" s="16"/>
      <c r="AL590" s="16"/>
      <c r="AN590" s="16"/>
      <c r="AP590" s="16"/>
      <c r="AR590" s="16"/>
      <c r="AT590" s="16"/>
      <c r="AV590" s="16"/>
    </row>
    <row r="591" spans="3:48" ht="12.75">
      <c r="C591" s="16"/>
      <c r="E591" s="16"/>
      <c r="G591" s="16"/>
      <c r="I591" s="16"/>
      <c r="K591" s="16"/>
      <c r="M591" s="16"/>
      <c r="O591" s="16"/>
      <c r="Q591" s="16"/>
      <c r="R591" s="16"/>
      <c r="T591" s="16"/>
      <c r="V591" s="16"/>
      <c r="X591" s="16"/>
      <c r="Z591" s="16"/>
      <c r="AB591" s="16"/>
      <c r="AD591" s="16"/>
      <c r="AF591" s="16"/>
      <c r="AH591" s="16"/>
      <c r="AJ591" s="16"/>
      <c r="AL591" s="16"/>
      <c r="AN591" s="16"/>
      <c r="AP591" s="16"/>
      <c r="AR591" s="16"/>
      <c r="AT591" s="16"/>
      <c r="AV591" s="16"/>
    </row>
    <row r="592" spans="3:48" ht="12.75">
      <c r="C592" s="16"/>
      <c r="E592" s="16"/>
      <c r="G592" s="16"/>
      <c r="I592" s="16"/>
      <c r="K592" s="16"/>
      <c r="M592" s="16"/>
      <c r="O592" s="16"/>
      <c r="Q592" s="16"/>
      <c r="R592" s="16"/>
      <c r="T592" s="16"/>
      <c r="V592" s="16"/>
      <c r="X592" s="16"/>
      <c r="Z592" s="16"/>
      <c r="AB592" s="16"/>
      <c r="AD592" s="16"/>
      <c r="AF592" s="16"/>
      <c r="AH592" s="16"/>
      <c r="AJ592" s="16"/>
      <c r="AL592" s="16"/>
      <c r="AN592" s="16"/>
      <c r="AP592" s="16"/>
      <c r="AR592" s="16"/>
      <c r="AT592" s="16"/>
      <c r="AV592" s="16"/>
    </row>
    <row r="593" spans="3:48" ht="12.75">
      <c r="C593" s="16"/>
      <c r="E593" s="16"/>
      <c r="G593" s="16"/>
      <c r="I593" s="16"/>
      <c r="K593" s="16"/>
      <c r="M593" s="16"/>
      <c r="O593" s="16"/>
      <c r="Q593" s="16"/>
      <c r="R593" s="16"/>
      <c r="T593" s="16"/>
      <c r="V593" s="16"/>
      <c r="X593" s="16"/>
      <c r="Z593" s="16"/>
      <c r="AB593" s="16"/>
      <c r="AD593" s="16"/>
      <c r="AF593" s="16"/>
      <c r="AH593" s="16"/>
      <c r="AJ593" s="16"/>
      <c r="AL593" s="16"/>
      <c r="AN593" s="16"/>
      <c r="AP593" s="16"/>
      <c r="AR593" s="16"/>
      <c r="AT593" s="16"/>
      <c r="AV593" s="16"/>
    </row>
    <row r="594" spans="3:48" ht="12.75">
      <c r="C594" s="16"/>
      <c r="E594" s="16"/>
      <c r="G594" s="16"/>
      <c r="I594" s="16"/>
      <c r="K594" s="16"/>
      <c r="M594" s="16"/>
      <c r="O594" s="16"/>
      <c r="Q594" s="16"/>
      <c r="R594" s="16"/>
      <c r="T594" s="16"/>
      <c r="V594" s="16"/>
      <c r="X594" s="16"/>
      <c r="Z594" s="16"/>
      <c r="AB594" s="16"/>
      <c r="AD594" s="16"/>
      <c r="AF594" s="16"/>
      <c r="AH594" s="16"/>
      <c r="AJ594" s="16"/>
      <c r="AL594" s="16"/>
      <c r="AN594" s="16"/>
      <c r="AP594" s="16"/>
      <c r="AR594" s="16"/>
      <c r="AT594" s="16"/>
      <c r="AV594" s="16"/>
    </row>
    <row r="595" spans="3:48" ht="12.75">
      <c r="C595" s="16"/>
      <c r="E595" s="16"/>
      <c r="G595" s="16"/>
      <c r="I595" s="16"/>
      <c r="K595" s="16"/>
      <c r="M595" s="16"/>
      <c r="O595" s="16"/>
      <c r="Q595" s="16"/>
      <c r="R595" s="16"/>
      <c r="T595" s="16"/>
      <c r="V595" s="16"/>
      <c r="X595" s="16"/>
      <c r="Z595" s="16"/>
      <c r="AB595" s="16"/>
      <c r="AD595" s="16"/>
      <c r="AF595" s="16"/>
      <c r="AH595" s="16"/>
      <c r="AJ595" s="16"/>
      <c r="AL595" s="16"/>
      <c r="AN595" s="16"/>
      <c r="AP595" s="16"/>
      <c r="AR595" s="16"/>
      <c r="AT595" s="16"/>
      <c r="AV595" s="16"/>
    </row>
    <row r="596" spans="3:48" ht="12.75">
      <c r="C596" s="16"/>
      <c r="E596" s="16"/>
      <c r="G596" s="16"/>
      <c r="I596" s="16"/>
      <c r="K596" s="16"/>
      <c r="M596" s="16"/>
      <c r="O596" s="16"/>
      <c r="Q596" s="16"/>
      <c r="R596" s="16"/>
      <c r="T596" s="16"/>
      <c r="V596" s="16"/>
      <c r="X596" s="16"/>
      <c r="Z596" s="16"/>
      <c r="AB596" s="16"/>
      <c r="AD596" s="16"/>
      <c r="AF596" s="16"/>
      <c r="AH596" s="16"/>
      <c r="AJ596" s="16"/>
      <c r="AL596" s="16"/>
      <c r="AN596" s="16"/>
      <c r="AP596" s="16"/>
      <c r="AR596" s="16"/>
      <c r="AT596" s="16"/>
      <c r="AV596" s="16"/>
    </row>
    <row r="597" spans="3:48" ht="12.75">
      <c r="C597" s="16"/>
      <c r="E597" s="16"/>
      <c r="G597" s="16"/>
      <c r="I597" s="16"/>
      <c r="K597" s="16"/>
      <c r="M597" s="16"/>
      <c r="O597" s="16"/>
      <c r="Q597" s="16"/>
      <c r="R597" s="16"/>
      <c r="T597" s="16"/>
      <c r="V597" s="16"/>
      <c r="X597" s="16"/>
      <c r="Z597" s="16"/>
      <c r="AB597" s="16"/>
      <c r="AD597" s="16"/>
      <c r="AF597" s="16"/>
      <c r="AH597" s="16"/>
      <c r="AJ597" s="16"/>
      <c r="AL597" s="16"/>
      <c r="AN597" s="16"/>
      <c r="AP597" s="16"/>
      <c r="AR597" s="16"/>
      <c r="AT597" s="16"/>
      <c r="AV597" s="16"/>
    </row>
    <row r="598" spans="3:48" ht="12.75">
      <c r="C598" s="16"/>
      <c r="E598" s="16"/>
      <c r="G598" s="16"/>
      <c r="I598" s="16"/>
      <c r="K598" s="16"/>
      <c r="M598" s="16"/>
      <c r="O598" s="16"/>
      <c r="Q598" s="16"/>
      <c r="R598" s="16"/>
      <c r="T598" s="16"/>
      <c r="V598" s="16"/>
      <c r="X598" s="16"/>
      <c r="Z598" s="16"/>
      <c r="AB598" s="16"/>
      <c r="AD598" s="16"/>
      <c r="AF598" s="16"/>
      <c r="AH598" s="16"/>
      <c r="AJ598" s="16"/>
      <c r="AL598" s="16"/>
      <c r="AN598" s="16"/>
      <c r="AP598" s="16"/>
      <c r="AR598" s="16"/>
      <c r="AT598" s="16"/>
      <c r="AV598" s="16"/>
    </row>
    <row r="599" spans="3:48" ht="12.75">
      <c r="C599" s="16"/>
      <c r="E599" s="16"/>
      <c r="G599" s="16"/>
      <c r="I599" s="16"/>
      <c r="K599" s="16"/>
      <c r="M599" s="16"/>
      <c r="O599" s="16"/>
      <c r="Q599" s="16"/>
      <c r="R599" s="16"/>
      <c r="T599" s="16"/>
      <c r="V599" s="16"/>
      <c r="X599" s="16"/>
      <c r="Z599" s="16"/>
      <c r="AB599" s="16"/>
      <c r="AD599" s="16"/>
      <c r="AF599" s="16"/>
      <c r="AH599" s="16"/>
      <c r="AJ599" s="16"/>
      <c r="AL599" s="16"/>
      <c r="AN599" s="16"/>
      <c r="AP599" s="16"/>
      <c r="AR599" s="16"/>
      <c r="AT599" s="16"/>
      <c r="AV599" s="16"/>
    </row>
    <row r="600" spans="3:48" ht="12.75">
      <c r="C600" s="16"/>
      <c r="E600" s="16"/>
      <c r="G600" s="16"/>
      <c r="I600" s="16"/>
      <c r="K600" s="16"/>
      <c r="M600" s="16"/>
      <c r="O600" s="16"/>
      <c r="Q600" s="16"/>
      <c r="R600" s="16"/>
      <c r="T600" s="16"/>
      <c r="V600" s="16"/>
      <c r="X600" s="16"/>
      <c r="Z600" s="16"/>
      <c r="AB600" s="16"/>
      <c r="AD600" s="16"/>
      <c r="AF600" s="16"/>
      <c r="AH600" s="16"/>
      <c r="AJ600" s="16"/>
      <c r="AL600" s="16"/>
      <c r="AN600" s="16"/>
      <c r="AP600" s="16"/>
      <c r="AR600" s="16"/>
      <c r="AT600" s="16"/>
      <c r="AV600" s="16"/>
    </row>
    <row r="601" spans="3:48" ht="12.75">
      <c r="C601" s="16"/>
      <c r="E601" s="16"/>
      <c r="G601" s="16"/>
      <c r="I601" s="16"/>
      <c r="K601" s="16"/>
      <c r="M601" s="16"/>
      <c r="O601" s="16"/>
      <c r="Q601" s="16"/>
      <c r="R601" s="16"/>
      <c r="T601" s="16"/>
      <c r="V601" s="16"/>
      <c r="X601" s="16"/>
      <c r="Z601" s="16"/>
      <c r="AB601" s="16"/>
      <c r="AD601" s="16"/>
      <c r="AF601" s="16"/>
      <c r="AH601" s="16"/>
      <c r="AJ601" s="16"/>
      <c r="AL601" s="16"/>
      <c r="AN601" s="16"/>
      <c r="AP601" s="16"/>
      <c r="AR601" s="16"/>
      <c r="AT601" s="16"/>
      <c r="AV601" s="16"/>
    </row>
    <row r="602" spans="3:48" ht="12.75">
      <c r="C602" s="16"/>
      <c r="E602" s="16"/>
      <c r="G602" s="16"/>
      <c r="I602" s="16"/>
      <c r="K602" s="16"/>
      <c r="M602" s="16"/>
      <c r="O602" s="16"/>
      <c r="Q602" s="16"/>
      <c r="R602" s="16"/>
      <c r="T602" s="16"/>
      <c r="V602" s="16"/>
      <c r="X602" s="16"/>
      <c r="Z602" s="16"/>
      <c r="AB602" s="16"/>
      <c r="AD602" s="16"/>
      <c r="AF602" s="16"/>
      <c r="AH602" s="16"/>
      <c r="AJ602" s="16"/>
      <c r="AL602" s="16"/>
      <c r="AN602" s="16"/>
      <c r="AP602" s="16"/>
      <c r="AR602" s="16"/>
      <c r="AT602" s="16"/>
      <c r="AV602" s="16"/>
    </row>
    <row r="603" spans="3:48" ht="12.75">
      <c r="C603" s="16"/>
      <c r="E603" s="16"/>
      <c r="G603" s="16"/>
      <c r="I603" s="16"/>
      <c r="K603" s="16"/>
      <c r="M603" s="16"/>
      <c r="O603" s="16"/>
      <c r="Q603" s="16"/>
      <c r="R603" s="16"/>
      <c r="T603" s="16"/>
      <c r="V603" s="16"/>
      <c r="X603" s="16"/>
      <c r="Z603" s="16"/>
      <c r="AB603" s="16"/>
      <c r="AD603" s="16"/>
      <c r="AF603" s="16"/>
      <c r="AH603" s="16"/>
      <c r="AJ603" s="16"/>
      <c r="AL603" s="16"/>
      <c r="AN603" s="16"/>
      <c r="AP603" s="16"/>
      <c r="AR603" s="16"/>
      <c r="AT603" s="16"/>
      <c r="AV603" s="16"/>
    </row>
    <row r="604" spans="3:48" ht="12.75">
      <c r="C604" s="16"/>
      <c r="E604" s="16"/>
      <c r="G604" s="16"/>
      <c r="I604" s="16"/>
      <c r="K604" s="16"/>
      <c r="M604" s="16"/>
      <c r="O604" s="16"/>
      <c r="Q604" s="16"/>
      <c r="R604" s="16"/>
      <c r="T604" s="16"/>
      <c r="V604" s="16"/>
      <c r="X604" s="16"/>
      <c r="Z604" s="16"/>
      <c r="AB604" s="16"/>
      <c r="AD604" s="16"/>
      <c r="AF604" s="16"/>
      <c r="AH604" s="16"/>
      <c r="AJ604" s="16"/>
      <c r="AL604" s="16"/>
      <c r="AN604" s="16"/>
      <c r="AP604" s="16"/>
      <c r="AR604" s="16"/>
      <c r="AT604" s="16"/>
      <c r="AV604" s="16"/>
    </row>
    <row r="605" spans="3:48" ht="12.75">
      <c r="C605" s="16"/>
      <c r="E605" s="16"/>
      <c r="G605" s="16"/>
      <c r="I605" s="16"/>
      <c r="K605" s="16"/>
      <c r="M605" s="16"/>
      <c r="O605" s="16"/>
      <c r="Q605" s="16"/>
      <c r="R605" s="16"/>
      <c r="T605" s="16"/>
      <c r="V605" s="16"/>
      <c r="X605" s="16"/>
      <c r="Z605" s="16"/>
      <c r="AB605" s="16"/>
      <c r="AD605" s="16"/>
      <c r="AF605" s="16"/>
      <c r="AH605" s="16"/>
      <c r="AJ605" s="16"/>
      <c r="AL605" s="16"/>
      <c r="AN605" s="16"/>
      <c r="AP605" s="16"/>
      <c r="AR605" s="16"/>
      <c r="AT605" s="16"/>
      <c r="AV605" s="16"/>
    </row>
    <row r="606" spans="3:48" ht="12.75">
      <c r="C606" s="16"/>
      <c r="E606" s="16"/>
      <c r="G606" s="16"/>
      <c r="I606" s="16"/>
      <c r="K606" s="16"/>
      <c r="M606" s="16"/>
      <c r="O606" s="16"/>
      <c r="Q606" s="16"/>
      <c r="R606" s="16"/>
      <c r="T606" s="16"/>
      <c r="V606" s="16"/>
      <c r="X606" s="16"/>
      <c r="Z606" s="16"/>
      <c r="AB606" s="16"/>
      <c r="AD606" s="16"/>
      <c r="AF606" s="16"/>
      <c r="AH606" s="16"/>
      <c r="AJ606" s="16"/>
      <c r="AL606" s="16"/>
      <c r="AN606" s="16"/>
      <c r="AP606" s="16"/>
      <c r="AR606" s="16"/>
      <c r="AT606" s="16"/>
      <c r="AV606" s="16"/>
    </row>
    <row r="607" spans="3:48" ht="12.75">
      <c r="C607" s="16"/>
      <c r="E607" s="16"/>
      <c r="G607" s="16"/>
      <c r="I607" s="16"/>
      <c r="K607" s="16"/>
      <c r="M607" s="16"/>
      <c r="O607" s="16"/>
      <c r="Q607" s="16"/>
      <c r="R607" s="16"/>
      <c r="T607" s="16"/>
      <c r="V607" s="16"/>
      <c r="X607" s="16"/>
      <c r="Z607" s="16"/>
      <c r="AB607" s="16"/>
      <c r="AD607" s="16"/>
      <c r="AF607" s="16"/>
      <c r="AH607" s="16"/>
      <c r="AJ607" s="16"/>
      <c r="AL607" s="16"/>
      <c r="AN607" s="16"/>
      <c r="AP607" s="16"/>
      <c r="AR607" s="16"/>
      <c r="AT607" s="16"/>
      <c r="AV607" s="16"/>
    </row>
    <row r="608" spans="3:48" ht="12.75">
      <c r="C608" s="16"/>
      <c r="E608" s="16"/>
      <c r="G608" s="16"/>
      <c r="I608" s="16"/>
      <c r="K608" s="16"/>
      <c r="M608" s="16"/>
      <c r="O608" s="16"/>
      <c r="Q608" s="16"/>
      <c r="R608" s="16"/>
      <c r="T608" s="16"/>
      <c r="V608" s="16"/>
      <c r="X608" s="16"/>
      <c r="Z608" s="16"/>
      <c r="AB608" s="16"/>
      <c r="AD608" s="16"/>
      <c r="AF608" s="16"/>
      <c r="AH608" s="16"/>
      <c r="AJ608" s="16"/>
      <c r="AL608" s="16"/>
      <c r="AN608" s="16"/>
      <c r="AP608" s="16"/>
      <c r="AR608" s="16"/>
      <c r="AT608" s="16"/>
      <c r="AV608" s="16"/>
    </row>
    <row r="609" spans="3:48" ht="12.75">
      <c r="C609" s="16"/>
      <c r="E609" s="16"/>
      <c r="G609" s="16"/>
      <c r="I609" s="16"/>
      <c r="K609" s="16"/>
      <c r="M609" s="16"/>
      <c r="O609" s="16"/>
      <c r="Q609" s="16"/>
      <c r="R609" s="16"/>
      <c r="T609" s="16"/>
      <c r="V609" s="16"/>
      <c r="X609" s="16"/>
      <c r="Z609" s="16"/>
      <c r="AB609" s="16"/>
      <c r="AD609" s="16"/>
      <c r="AF609" s="16"/>
      <c r="AH609" s="16"/>
      <c r="AJ609" s="16"/>
      <c r="AL609" s="16"/>
      <c r="AN609" s="16"/>
      <c r="AP609" s="16"/>
      <c r="AR609" s="16"/>
      <c r="AT609" s="16"/>
      <c r="AV609" s="16"/>
    </row>
    <row r="610" spans="3:48" ht="12.75">
      <c r="C610" s="16"/>
      <c r="E610" s="16"/>
      <c r="G610" s="16"/>
      <c r="I610" s="16"/>
      <c r="K610" s="16"/>
      <c r="M610" s="16"/>
      <c r="O610" s="16"/>
      <c r="Q610" s="16"/>
      <c r="R610" s="16"/>
      <c r="T610" s="16"/>
      <c r="V610" s="16"/>
      <c r="X610" s="16"/>
      <c r="Z610" s="16"/>
      <c r="AB610" s="16"/>
      <c r="AD610" s="16"/>
      <c r="AF610" s="16"/>
      <c r="AH610" s="16"/>
      <c r="AJ610" s="16"/>
      <c r="AL610" s="16"/>
      <c r="AN610" s="16"/>
      <c r="AP610" s="16"/>
      <c r="AR610" s="16"/>
      <c r="AT610" s="16"/>
      <c r="AV610" s="16"/>
    </row>
    <row r="611" spans="3:48" ht="12.75">
      <c r="C611" s="16"/>
      <c r="E611" s="16"/>
      <c r="G611" s="16"/>
      <c r="I611" s="16"/>
      <c r="K611" s="16"/>
      <c r="M611" s="16"/>
      <c r="O611" s="16"/>
      <c r="Q611" s="16"/>
      <c r="R611" s="16"/>
      <c r="T611" s="16"/>
      <c r="V611" s="16"/>
      <c r="X611" s="16"/>
      <c r="Z611" s="16"/>
      <c r="AB611" s="16"/>
      <c r="AD611" s="16"/>
      <c r="AF611" s="16"/>
      <c r="AH611" s="16"/>
      <c r="AJ611" s="16"/>
      <c r="AL611" s="16"/>
      <c r="AN611" s="16"/>
      <c r="AP611" s="16"/>
      <c r="AR611" s="16"/>
      <c r="AT611" s="16"/>
      <c r="AV611" s="16"/>
    </row>
    <row r="612" spans="3:48" ht="12.75">
      <c r="C612" s="16"/>
      <c r="E612" s="16"/>
      <c r="G612" s="16"/>
      <c r="I612" s="16"/>
      <c r="K612" s="16"/>
      <c r="M612" s="16"/>
      <c r="O612" s="16"/>
      <c r="Q612" s="16"/>
      <c r="R612" s="16"/>
      <c r="T612" s="16"/>
      <c r="V612" s="16"/>
      <c r="X612" s="16"/>
      <c r="Z612" s="16"/>
      <c r="AB612" s="16"/>
      <c r="AD612" s="16"/>
      <c r="AF612" s="16"/>
      <c r="AH612" s="16"/>
      <c r="AJ612" s="16"/>
      <c r="AL612" s="16"/>
      <c r="AN612" s="16"/>
      <c r="AP612" s="16"/>
      <c r="AR612" s="16"/>
      <c r="AT612" s="16"/>
      <c r="AV612" s="16"/>
    </row>
    <row r="613" spans="3:48" ht="12.75">
      <c r="C613" s="16"/>
      <c r="E613" s="16"/>
      <c r="G613" s="16"/>
      <c r="I613" s="16"/>
      <c r="K613" s="16"/>
      <c r="M613" s="16"/>
      <c r="O613" s="16"/>
      <c r="Q613" s="16"/>
      <c r="R613" s="16"/>
      <c r="T613" s="16"/>
      <c r="V613" s="16"/>
      <c r="X613" s="16"/>
      <c r="Z613" s="16"/>
      <c r="AB613" s="16"/>
      <c r="AD613" s="16"/>
      <c r="AF613" s="16"/>
      <c r="AH613" s="16"/>
      <c r="AJ613" s="16"/>
      <c r="AL613" s="16"/>
      <c r="AN613" s="16"/>
      <c r="AP613" s="16"/>
      <c r="AR613" s="16"/>
      <c r="AT613" s="16"/>
      <c r="AV613" s="16"/>
    </row>
    <row r="614" spans="3:48" ht="12.75">
      <c r="C614" s="16"/>
      <c r="E614" s="16"/>
      <c r="G614" s="16"/>
      <c r="I614" s="16"/>
      <c r="K614" s="16"/>
      <c r="M614" s="16"/>
      <c r="O614" s="16"/>
      <c r="Q614" s="16"/>
      <c r="R614" s="16"/>
      <c r="T614" s="16"/>
      <c r="V614" s="16"/>
      <c r="X614" s="16"/>
      <c r="Z614" s="16"/>
      <c r="AB614" s="16"/>
      <c r="AD614" s="16"/>
      <c r="AF614" s="16"/>
      <c r="AH614" s="16"/>
      <c r="AJ614" s="16"/>
      <c r="AL614" s="16"/>
      <c r="AN614" s="16"/>
      <c r="AP614" s="16"/>
      <c r="AR614" s="16"/>
      <c r="AT614" s="16"/>
      <c r="AV614" s="16"/>
    </row>
    <row r="615" spans="3:48" ht="12.75">
      <c r="C615" s="16"/>
      <c r="E615" s="16"/>
      <c r="G615" s="16"/>
      <c r="I615" s="16"/>
      <c r="K615" s="16"/>
      <c r="M615" s="16"/>
      <c r="O615" s="16"/>
      <c r="Q615" s="16"/>
      <c r="R615" s="16"/>
      <c r="T615" s="16"/>
      <c r="V615" s="16"/>
      <c r="X615" s="16"/>
      <c r="Z615" s="16"/>
      <c r="AB615" s="16"/>
      <c r="AD615" s="16"/>
      <c r="AF615" s="16"/>
      <c r="AH615" s="16"/>
      <c r="AJ615" s="16"/>
      <c r="AL615" s="16"/>
      <c r="AN615" s="16"/>
      <c r="AP615" s="16"/>
      <c r="AR615" s="16"/>
      <c r="AT615" s="16"/>
      <c r="AV615" s="16"/>
    </row>
    <row r="616" spans="3:48" ht="12.75">
      <c r="C616" s="16"/>
      <c r="E616" s="16"/>
      <c r="G616" s="16"/>
      <c r="I616" s="16"/>
      <c r="K616" s="16"/>
      <c r="M616" s="16"/>
      <c r="O616" s="16"/>
      <c r="Q616" s="16"/>
      <c r="R616" s="16"/>
      <c r="T616" s="16"/>
      <c r="V616" s="16"/>
      <c r="X616" s="16"/>
      <c r="Z616" s="16"/>
      <c r="AB616" s="16"/>
      <c r="AD616" s="16"/>
      <c r="AF616" s="16"/>
      <c r="AH616" s="16"/>
      <c r="AJ616" s="16"/>
      <c r="AL616" s="16"/>
      <c r="AN616" s="16"/>
      <c r="AP616" s="16"/>
      <c r="AR616" s="16"/>
      <c r="AT616" s="16"/>
      <c r="AV616" s="16"/>
    </row>
    <row r="617" spans="3:48" ht="12.75">
      <c r="C617" s="16"/>
      <c r="E617" s="16"/>
      <c r="G617" s="16"/>
      <c r="I617" s="16"/>
      <c r="K617" s="16"/>
      <c r="M617" s="16"/>
      <c r="O617" s="16"/>
      <c r="Q617" s="16"/>
      <c r="R617" s="16"/>
      <c r="T617" s="16"/>
      <c r="V617" s="16"/>
      <c r="X617" s="16"/>
      <c r="Z617" s="16"/>
      <c r="AB617" s="16"/>
      <c r="AD617" s="16"/>
      <c r="AF617" s="16"/>
      <c r="AH617" s="16"/>
      <c r="AJ617" s="16"/>
      <c r="AL617" s="16"/>
      <c r="AN617" s="16"/>
      <c r="AP617" s="16"/>
      <c r="AR617" s="16"/>
      <c r="AT617" s="16"/>
      <c r="AV617" s="16"/>
    </row>
    <row r="618" spans="3:48" ht="12.75">
      <c r="C618" s="16"/>
      <c r="E618" s="16"/>
      <c r="G618" s="16"/>
      <c r="I618" s="16"/>
      <c r="K618" s="16"/>
      <c r="M618" s="16"/>
      <c r="O618" s="16"/>
      <c r="Q618" s="16"/>
      <c r="R618" s="16"/>
      <c r="T618" s="16"/>
      <c r="V618" s="16"/>
      <c r="X618" s="16"/>
      <c r="Z618" s="16"/>
      <c r="AB618" s="16"/>
      <c r="AD618" s="16"/>
      <c r="AF618" s="16"/>
      <c r="AH618" s="16"/>
      <c r="AJ618" s="16"/>
      <c r="AL618" s="16"/>
      <c r="AN618" s="16"/>
      <c r="AP618" s="16"/>
      <c r="AR618" s="16"/>
      <c r="AT618" s="16"/>
      <c r="AV618" s="16"/>
    </row>
    <row r="619" spans="3:48" ht="12.75">
      <c r="C619" s="16"/>
      <c r="E619" s="16"/>
      <c r="G619" s="16"/>
      <c r="I619" s="16"/>
      <c r="K619" s="16"/>
      <c r="M619" s="16"/>
      <c r="O619" s="16"/>
      <c r="Q619" s="16"/>
      <c r="R619" s="16"/>
      <c r="T619" s="16"/>
      <c r="V619" s="16"/>
      <c r="X619" s="16"/>
      <c r="Z619" s="16"/>
      <c r="AB619" s="16"/>
      <c r="AD619" s="16"/>
      <c r="AF619" s="16"/>
      <c r="AH619" s="16"/>
      <c r="AJ619" s="16"/>
      <c r="AL619" s="16"/>
      <c r="AN619" s="16"/>
      <c r="AP619" s="16"/>
      <c r="AR619" s="16"/>
      <c r="AT619" s="16"/>
      <c r="AV619" s="16"/>
    </row>
    <row r="620" spans="3:48" ht="12.75">
      <c r="C620" s="16"/>
      <c r="E620" s="16"/>
      <c r="G620" s="16"/>
      <c r="I620" s="16"/>
      <c r="K620" s="16"/>
      <c r="M620" s="16"/>
      <c r="O620" s="16"/>
      <c r="Q620" s="16"/>
      <c r="R620" s="16"/>
      <c r="T620" s="16"/>
      <c r="V620" s="16"/>
      <c r="X620" s="16"/>
      <c r="Z620" s="16"/>
      <c r="AB620" s="16"/>
      <c r="AD620" s="16"/>
      <c r="AF620" s="16"/>
      <c r="AH620" s="16"/>
      <c r="AJ620" s="16"/>
      <c r="AL620" s="16"/>
      <c r="AN620" s="16"/>
      <c r="AP620" s="16"/>
      <c r="AR620" s="16"/>
      <c r="AT620" s="16"/>
      <c r="AV620" s="16"/>
    </row>
    <row r="621" spans="3:48" ht="12.75">
      <c r="C621" s="16"/>
      <c r="E621" s="16"/>
      <c r="G621" s="16"/>
      <c r="I621" s="16"/>
      <c r="K621" s="16"/>
      <c r="M621" s="16"/>
      <c r="O621" s="16"/>
      <c r="Q621" s="16"/>
      <c r="R621" s="16"/>
      <c r="T621" s="16"/>
      <c r="V621" s="16"/>
      <c r="X621" s="16"/>
      <c r="Z621" s="16"/>
      <c r="AB621" s="16"/>
      <c r="AD621" s="16"/>
      <c r="AF621" s="16"/>
      <c r="AH621" s="16"/>
      <c r="AJ621" s="16"/>
      <c r="AL621" s="16"/>
      <c r="AN621" s="16"/>
      <c r="AP621" s="16"/>
      <c r="AR621" s="16"/>
      <c r="AT621" s="16"/>
      <c r="AV621" s="16"/>
    </row>
    <row r="622" spans="3:48" ht="12.75">
      <c r="C622" s="16"/>
      <c r="E622" s="16"/>
      <c r="G622" s="16"/>
      <c r="I622" s="16"/>
      <c r="K622" s="16"/>
      <c r="M622" s="16"/>
      <c r="O622" s="16"/>
      <c r="Q622" s="16"/>
      <c r="R622" s="16"/>
      <c r="T622" s="16"/>
      <c r="V622" s="16"/>
      <c r="X622" s="16"/>
      <c r="Z622" s="16"/>
      <c r="AB622" s="16"/>
      <c r="AD622" s="16"/>
      <c r="AF622" s="16"/>
      <c r="AH622" s="16"/>
      <c r="AJ622" s="16"/>
      <c r="AL622" s="16"/>
      <c r="AN622" s="16"/>
      <c r="AP622" s="16"/>
      <c r="AR622" s="16"/>
      <c r="AT622" s="16"/>
      <c r="AV622" s="16"/>
    </row>
    <row r="623" spans="3:48" ht="12.75">
      <c r="C623" s="16"/>
      <c r="E623" s="16"/>
      <c r="G623" s="16"/>
      <c r="I623" s="16"/>
      <c r="K623" s="16"/>
      <c r="M623" s="16"/>
      <c r="O623" s="16"/>
      <c r="Q623" s="16"/>
      <c r="R623" s="16"/>
      <c r="T623" s="16"/>
      <c r="V623" s="16"/>
      <c r="X623" s="16"/>
      <c r="Z623" s="16"/>
      <c r="AB623" s="16"/>
      <c r="AD623" s="16"/>
      <c r="AF623" s="16"/>
      <c r="AH623" s="16"/>
      <c r="AJ623" s="16"/>
      <c r="AL623" s="16"/>
      <c r="AN623" s="16"/>
      <c r="AP623" s="16"/>
      <c r="AR623" s="16"/>
      <c r="AT623" s="16"/>
      <c r="AV623" s="16"/>
    </row>
    <row r="624" spans="3:48" ht="12.75">
      <c r="C624" s="16"/>
      <c r="E624" s="16"/>
      <c r="G624" s="16"/>
      <c r="I624" s="16"/>
      <c r="K624" s="16"/>
      <c r="M624" s="16"/>
      <c r="O624" s="16"/>
      <c r="Q624" s="16"/>
      <c r="R624" s="16"/>
      <c r="T624" s="16"/>
      <c r="V624" s="16"/>
      <c r="X624" s="16"/>
      <c r="Z624" s="16"/>
      <c r="AB624" s="16"/>
      <c r="AD624" s="16"/>
      <c r="AF624" s="16"/>
      <c r="AH624" s="16"/>
      <c r="AJ624" s="16"/>
      <c r="AL624" s="16"/>
      <c r="AN624" s="16"/>
      <c r="AP624" s="16"/>
      <c r="AR624" s="16"/>
      <c r="AT624" s="16"/>
      <c r="AV624" s="16"/>
    </row>
    <row r="625" spans="3:48" ht="12.75">
      <c r="C625" s="16"/>
      <c r="E625" s="16"/>
      <c r="G625" s="16"/>
      <c r="I625" s="16"/>
      <c r="K625" s="16"/>
      <c r="M625" s="16"/>
      <c r="O625" s="16"/>
      <c r="Q625" s="16"/>
      <c r="R625" s="16"/>
      <c r="T625" s="16"/>
      <c r="V625" s="16"/>
      <c r="X625" s="16"/>
      <c r="Z625" s="16"/>
      <c r="AB625" s="16"/>
      <c r="AD625" s="16"/>
      <c r="AF625" s="16"/>
      <c r="AH625" s="16"/>
      <c r="AJ625" s="16"/>
      <c r="AL625" s="16"/>
      <c r="AN625" s="16"/>
      <c r="AP625" s="16"/>
      <c r="AR625" s="16"/>
      <c r="AT625" s="16"/>
      <c r="AV625" s="16"/>
    </row>
    <row r="626" spans="3:48" ht="12.75">
      <c r="C626" s="16"/>
      <c r="E626" s="16"/>
      <c r="G626" s="16"/>
      <c r="I626" s="16"/>
      <c r="K626" s="16"/>
      <c r="M626" s="16"/>
      <c r="O626" s="16"/>
      <c r="Q626" s="16"/>
      <c r="R626" s="16"/>
      <c r="T626" s="16"/>
      <c r="V626" s="16"/>
      <c r="X626" s="16"/>
      <c r="Z626" s="16"/>
      <c r="AB626" s="16"/>
      <c r="AD626" s="16"/>
      <c r="AF626" s="16"/>
      <c r="AH626" s="16"/>
      <c r="AJ626" s="16"/>
      <c r="AL626" s="16"/>
      <c r="AN626" s="16"/>
      <c r="AP626" s="16"/>
      <c r="AR626" s="16"/>
      <c r="AT626" s="16"/>
      <c r="AV626" s="16"/>
    </row>
    <row r="627" spans="3:48" ht="12.75">
      <c r="C627" s="16"/>
      <c r="E627" s="16"/>
      <c r="G627" s="16"/>
      <c r="I627" s="16"/>
      <c r="K627" s="16"/>
      <c r="M627" s="16"/>
      <c r="O627" s="16"/>
      <c r="Q627" s="16"/>
      <c r="R627" s="16"/>
      <c r="T627" s="16"/>
      <c r="V627" s="16"/>
      <c r="X627" s="16"/>
      <c r="Z627" s="16"/>
      <c r="AB627" s="16"/>
      <c r="AD627" s="16"/>
      <c r="AF627" s="16"/>
      <c r="AH627" s="16"/>
      <c r="AJ627" s="16"/>
      <c r="AL627" s="16"/>
      <c r="AN627" s="16"/>
      <c r="AP627" s="16"/>
      <c r="AR627" s="16"/>
      <c r="AT627" s="16"/>
      <c r="AV627" s="16"/>
    </row>
    <row r="628" spans="3:48" ht="12.75">
      <c r="C628" s="16"/>
      <c r="E628" s="16"/>
      <c r="G628" s="16"/>
      <c r="I628" s="16"/>
      <c r="K628" s="16"/>
      <c r="M628" s="16"/>
      <c r="O628" s="16"/>
      <c r="Q628" s="16"/>
      <c r="R628" s="16"/>
      <c r="T628" s="16"/>
      <c r="V628" s="16"/>
      <c r="X628" s="16"/>
      <c r="Z628" s="16"/>
      <c r="AB628" s="16"/>
      <c r="AD628" s="16"/>
      <c r="AF628" s="16"/>
      <c r="AH628" s="16"/>
      <c r="AJ628" s="16"/>
      <c r="AL628" s="16"/>
      <c r="AN628" s="16"/>
      <c r="AP628" s="16"/>
      <c r="AR628" s="16"/>
      <c r="AT628" s="16"/>
      <c r="AV628" s="16"/>
    </row>
    <row r="629" spans="3:48" ht="12.75">
      <c r="C629" s="16"/>
      <c r="E629" s="16"/>
      <c r="G629" s="16"/>
      <c r="I629" s="16"/>
      <c r="K629" s="16"/>
      <c r="M629" s="16"/>
      <c r="O629" s="16"/>
      <c r="Q629" s="16"/>
      <c r="R629" s="16"/>
      <c r="T629" s="16"/>
      <c r="V629" s="16"/>
      <c r="X629" s="16"/>
      <c r="Z629" s="16"/>
      <c r="AB629" s="16"/>
      <c r="AD629" s="16"/>
      <c r="AF629" s="16"/>
      <c r="AH629" s="16"/>
      <c r="AJ629" s="16"/>
      <c r="AL629" s="16"/>
      <c r="AN629" s="16"/>
      <c r="AP629" s="16"/>
      <c r="AR629" s="16"/>
      <c r="AT629" s="16"/>
      <c r="AV629" s="16"/>
    </row>
    <row r="630" spans="3:48" ht="12.75">
      <c r="C630" s="16"/>
      <c r="E630" s="16"/>
      <c r="G630" s="16"/>
      <c r="I630" s="16"/>
      <c r="K630" s="16"/>
      <c r="M630" s="16"/>
      <c r="O630" s="16"/>
      <c r="Q630" s="16"/>
      <c r="R630" s="16"/>
      <c r="T630" s="16"/>
      <c r="V630" s="16"/>
      <c r="X630" s="16"/>
      <c r="Z630" s="16"/>
      <c r="AB630" s="16"/>
      <c r="AD630" s="16"/>
      <c r="AF630" s="16"/>
      <c r="AH630" s="16"/>
      <c r="AJ630" s="16"/>
      <c r="AL630" s="16"/>
      <c r="AN630" s="16"/>
      <c r="AP630" s="16"/>
      <c r="AR630" s="16"/>
      <c r="AT630" s="16"/>
      <c r="AV630" s="16"/>
    </row>
    <row r="631" spans="3:48" ht="12.75">
      <c r="C631" s="16"/>
      <c r="E631" s="16"/>
      <c r="G631" s="16"/>
      <c r="I631" s="16"/>
      <c r="K631" s="16"/>
      <c r="M631" s="16"/>
      <c r="O631" s="16"/>
      <c r="Q631" s="16"/>
      <c r="R631" s="16"/>
      <c r="T631" s="16"/>
      <c r="V631" s="16"/>
      <c r="X631" s="16"/>
      <c r="Z631" s="16"/>
      <c r="AB631" s="16"/>
      <c r="AD631" s="16"/>
      <c r="AF631" s="16"/>
      <c r="AH631" s="16"/>
      <c r="AJ631" s="16"/>
      <c r="AL631" s="16"/>
      <c r="AN631" s="16"/>
      <c r="AP631" s="16"/>
      <c r="AR631" s="16"/>
      <c r="AT631" s="16"/>
      <c r="AV631" s="16"/>
    </row>
    <row r="632" spans="3:48" ht="12.75">
      <c r="C632" s="16"/>
      <c r="E632" s="16"/>
      <c r="G632" s="16"/>
      <c r="I632" s="16"/>
      <c r="K632" s="16"/>
      <c r="M632" s="16"/>
      <c r="O632" s="16"/>
      <c r="Q632" s="16"/>
      <c r="R632" s="16"/>
      <c r="T632" s="16"/>
      <c r="V632" s="16"/>
      <c r="X632" s="16"/>
      <c r="Z632" s="16"/>
      <c r="AB632" s="16"/>
      <c r="AD632" s="16"/>
      <c r="AF632" s="16"/>
      <c r="AH632" s="16"/>
      <c r="AJ632" s="16"/>
      <c r="AL632" s="16"/>
      <c r="AN632" s="16"/>
      <c r="AP632" s="16"/>
      <c r="AR632" s="16"/>
      <c r="AT632" s="16"/>
      <c r="AV632" s="16"/>
    </row>
    <row r="633" spans="3:48" ht="12.75">
      <c r="C633" s="16"/>
      <c r="E633" s="16"/>
      <c r="G633" s="16"/>
      <c r="I633" s="16"/>
      <c r="K633" s="16"/>
      <c r="M633" s="16"/>
      <c r="O633" s="16"/>
      <c r="Q633" s="16"/>
      <c r="R633" s="16"/>
      <c r="T633" s="16"/>
      <c r="V633" s="16"/>
      <c r="X633" s="16"/>
      <c r="Z633" s="16"/>
      <c r="AB633" s="16"/>
      <c r="AD633" s="16"/>
      <c r="AF633" s="16"/>
      <c r="AH633" s="16"/>
      <c r="AJ633" s="16"/>
      <c r="AL633" s="16"/>
      <c r="AN633" s="16"/>
      <c r="AP633" s="16"/>
      <c r="AR633" s="16"/>
      <c r="AT633" s="16"/>
      <c r="AV633" s="16"/>
    </row>
    <row r="634" spans="3:48" ht="12.75">
      <c r="C634" s="16"/>
      <c r="E634" s="16"/>
      <c r="G634" s="16"/>
      <c r="I634" s="16"/>
      <c r="K634" s="16"/>
      <c r="M634" s="16"/>
      <c r="O634" s="16"/>
      <c r="Q634" s="16"/>
      <c r="R634" s="16"/>
      <c r="T634" s="16"/>
      <c r="V634" s="16"/>
      <c r="X634" s="16"/>
      <c r="Z634" s="16"/>
      <c r="AB634" s="16"/>
      <c r="AD634" s="16"/>
      <c r="AF634" s="16"/>
      <c r="AH634" s="16"/>
      <c r="AJ634" s="16"/>
      <c r="AL634" s="16"/>
      <c r="AN634" s="16"/>
      <c r="AP634" s="16"/>
      <c r="AR634" s="16"/>
      <c r="AT634" s="16"/>
      <c r="AV634" s="16"/>
    </row>
    <row r="635" spans="3:48" ht="12.75">
      <c r="C635" s="16"/>
      <c r="E635" s="16"/>
      <c r="G635" s="16"/>
      <c r="I635" s="16"/>
      <c r="K635" s="16"/>
      <c r="M635" s="16"/>
      <c r="O635" s="16"/>
      <c r="Q635" s="16"/>
      <c r="R635" s="16"/>
      <c r="T635" s="16"/>
      <c r="V635" s="16"/>
      <c r="X635" s="16"/>
      <c r="Z635" s="16"/>
      <c r="AB635" s="16"/>
      <c r="AD635" s="16"/>
      <c r="AF635" s="16"/>
      <c r="AH635" s="16"/>
      <c r="AJ635" s="16"/>
      <c r="AL635" s="16"/>
      <c r="AN635" s="16"/>
      <c r="AP635" s="16"/>
      <c r="AR635" s="16"/>
      <c r="AT635" s="16"/>
      <c r="AV635" s="16"/>
    </row>
    <row r="636" spans="3:48" ht="12.75">
      <c r="C636" s="16"/>
      <c r="E636" s="16"/>
      <c r="G636" s="16"/>
      <c r="I636" s="16"/>
      <c r="K636" s="16"/>
      <c r="M636" s="16"/>
      <c r="O636" s="16"/>
      <c r="Q636" s="16"/>
      <c r="R636" s="16"/>
      <c r="T636" s="16"/>
      <c r="V636" s="16"/>
      <c r="X636" s="16"/>
      <c r="Z636" s="16"/>
      <c r="AB636" s="16"/>
      <c r="AD636" s="16"/>
      <c r="AF636" s="16"/>
      <c r="AH636" s="16"/>
      <c r="AJ636" s="16"/>
      <c r="AL636" s="16"/>
      <c r="AN636" s="16"/>
      <c r="AP636" s="16"/>
      <c r="AR636" s="16"/>
      <c r="AT636" s="16"/>
      <c r="AV636" s="16"/>
    </row>
    <row r="637" spans="3:48" ht="12.75">
      <c r="C637" s="16"/>
      <c r="E637" s="16"/>
      <c r="G637" s="16"/>
      <c r="I637" s="16"/>
      <c r="K637" s="16"/>
      <c r="M637" s="16"/>
      <c r="O637" s="16"/>
      <c r="Q637" s="16"/>
      <c r="R637" s="16"/>
      <c r="T637" s="16"/>
      <c r="V637" s="16"/>
      <c r="X637" s="16"/>
      <c r="Z637" s="16"/>
      <c r="AB637" s="16"/>
      <c r="AD637" s="16"/>
      <c r="AF637" s="16"/>
      <c r="AH637" s="16"/>
      <c r="AJ637" s="16"/>
      <c r="AL637" s="16"/>
      <c r="AN637" s="16"/>
      <c r="AP637" s="16"/>
      <c r="AR637" s="16"/>
      <c r="AT637" s="16"/>
      <c r="AV637" s="16"/>
    </row>
    <row r="638" spans="3:48" ht="12.75">
      <c r="C638" s="16"/>
      <c r="E638" s="16"/>
      <c r="G638" s="16"/>
      <c r="I638" s="16"/>
      <c r="K638" s="16"/>
      <c r="M638" s="16"/>
      <c r="O638" s="16"/>
      <c r="Q638" s="16"/>
      <c r="R638" s="16"/>
      <c r="T638" s="16"/>
      <c r="V638" s="16"/>
      <c r="X638" s="16"/>
      <c r="Z638" s="16"/>
      <c r="AB638" s="16"/>
      <c r="AD638" s="16"/>
      <c r="AF638" s="16"/>
      <c r="AH638" s="16"/>
      <c r="AJ638" s="16"/>
      <c r="AL638" s="16"/>
      <c r="AN638" s="16"/>
      <c r="AP638" s="16"/>
      <c r="AR638" s="16"/>
      <c r="AT638" s="16"/>
      <c r="AV638" s="16"/>
    </row>
    <row r="639" spans="3:48" ht="12.75">
      <c r="C639" s="16"/>
      <c r="E639" s="16"/>
      <c r="G639" s="16"/>
      <c r="I639" s="16"/>
      <c r="K639" s="16"/>
      <c r="M639" s="16"/>
      <c r="O639" s="16"/>
      <c r="Q639" s="16"/>
      <c r="R639" s="16"/>
      <c r="T639" s="16"/>
      <c r="V639" s="16"/>
      <c r="X639" s="16"/>
      <c r="Z639" s="16"/>
      <c r="AB639" s="16"/>
      <c r="AD639" s="16"/>
      <c r="AF639" s="16"/>
      <c r="AH639" s="16"/>
      <c r="AJ639" s="16"/>
      <c r="AL639" s="16"/>
      <c r="AN639" s="16"/>
      <c r="AP639" s="16"/>
      <c r="AR639" s="16"/>
      <c r="AT639" s="16"/>
      <c r="AV639" s="16"/>
    </row>
    <row r="640" spans="3:48" ht="12.75">
      <c r="C640" s="16"/>
      <c r="E640" s="16"/>
      <c r="G640" s="16"/>
      <c r="I640" s="16"/>
      <c r="K640" s="16"/>
      <c r="M640" s="16"/>
      <c r="O640" s="16"/>
      <c r="Q640" s="16"/>
      <c r="R640" s="16"/>
      <c r="T640" s="16"/>
      <c r="V640" s="16"/>
      <c r="X640" s="16"/>
      <c r="Z640" s="16"/>
      <c r="AB640" s="16"/>
      <c r="AD640" s="16"/>
      <c r="AF640" s="16"/>
      <c r="AH640" s="16"/>
      <c r="AJ640" s="16"/>
      <c r="AL640" s="16"/>
      <c r="AN640" s="16"/>
      <c r="AP640" s="16"/>
      <c r="AR640" s="16"/>
      <c r="AT640" s="16"/>
      <c r="AV640" s="16"/>
    </row>
    <row r="641" spans="3:48" ht="12.75">
      <c r="C641" s="16"/>
      <c r="E641" s="16"/>
      <c r="G641" s="16"/>
      <c r="I641" s="16"/>
      <c r="K641" s="16"/>
      <c r="M641" s="16"/>
      <c r="O641" s="16"/>
      <c r="Q641" s="16"/>
      <c r="R641" s="16"/>
      <c r="T641" s="16"/>
      <c r="V641" s="16"/>
      <c r="X641" s="16"/>
      <c r="Z641" s="16"/>
      <c r="AB641" s="16"/>
      <c r="AD641" s="16"/>
      <c r="AF641" s="16"/>
      <c r="AH641" s="16"/>
      <c r="AJ641" s="16"/>
      <c r="AL641" s="16"/>
      <c r="AN641" s="16"/>
      <c r="AP641" s="16"/>
      <c r="AR641" s="16"/>
      <c r="AT641" s="16"/>
      <c r="AV641" s="16"/>
    </row>
    <row r="642" spans="3:48" ht="12.75">
      <c r="C642" s="16"/>
      <c r="E642" s="16"/>
      <c r="G642" s="16"/>
      <c r="I642" s="16"/>
      <c r="K642" s="16"/>
      <c r="M642" s="16"/>
      <c r="O642" s="16"/>
      <c r="Q642" s="16"/>
      <c r="R642" s="16"/>
      <c r="T642" s="16"/>
      <c r="V642" s="16"/>
      <c r="X642" s="16"/>
      <c r="Z642" s="16"/>
      <c r="AB642" s="16"/>
      <c r="AD642" s="16"/>
      <c r="AF642" s="16"/>
      <c r="AH642" s="16"/>
      <c r="AJ642" s="16"/>
      <c r="AL642" s="16"/>
      <c r="AN642" s="16"/>
      <c r="AP642" s="16"/>
      <c r="AR642" s="16"/>
      <c r="AT642" s="16"/>
      <c r="AV642" s="16"/>
    </row>
    <row r="643" spans="3:48" ht="12.75">
      <c r="C643" s="16"/>
      <c r="E643" s="16"/>
      <c r="G643" s="16"/>
      <c r="I643" s="16"/>
      <c r="K643" s="16"/>
      <c r="M643" s="16"/>
      <c r="O643" s="16"/>
      <c r="Q643" s="16"/>
      <c r="R643" s="16"/>
      <c r="T643" s="16"/>
      <c r="V643" s="16"/>
      <c r="X643" s="16"/>
      <c r="Z643" s="16"/>
      <c r="AB643" s="16"/>
      <c r="AD643" s="16"/>
      <c r="AF643" s="16"/>
      <c r="AH643" s="16"/>
      <c r="AJ643" s="16"/>
      <c r="AL643" s="16"/>
      <c r="AN643" s="16"/>
      <c r="AP643" s="16"/>
      <c r="AR643" s="16"/>
      <c r="AT643" s="16"/>
      <c r="AV643" s="16"/>
    </row>
    <row r="644" spans="3:48" ht="12.75">
      <c r="C644" s="16"/>
      <c r="E644" s="16"/>
      <c r="G644" s="16"/>
      <c r="I644" s="16"/>
      <c r="K644" s="16"/>
      <c r="M644" s="16"/>
      <c r="O644" s="16"/>
      <c r="Q644" s="16"/>
      <c r="R644" s="16"/>
      <c r="T644" s="16"/>
      <c r="V644" s="16"/>
      <c r="X644" s="16"/>
      <c r="Z644" s="16"/>
      <c r="AB644" s="16"/>
      <c r="AD644" s="16"/>
      <c r="AF644" s="16"/>
      <c r="AH644" s="16"/>
      <c r="AJ644" s="16"/>
      <c r="AL644" s="16"/>
      <c r="AN644" s="16"/>
      <c r="AP644" s="16"/>
      <c r="AR644" s="16"/>
      <c r="AT644" s="16"/>
      <c r="AV644" s="16"/>
    </row>
    <row r="645" spans="3:48" ht="12.75">
      <c r="C645" s="16"/>
      <c r="E645" s="16"/>
      <c r="G645" s="16"/>
      <c r="I645" s="16"/>
      <c r="K645" s="16"/>
      <c r="M645" s="16"/>
      <c r="O645" s="16"/>
      <c r="Q645" s="16"/>
      <c r="R645" s="16"/>
      <c r="T645" s="16"/>
      <c r="V645" s="16"/>
      <c r="X645" s="16"/>
      <c r="Z645" s="16"/>
      <c r="AB645" s="16"/>
      <c r="AD645" s="16"/>
      <c r="AF645" s="16"/>
      <c r="AH645" s="16"/>
      <c r="AJ645" s="16"/>
      <c r="AL645" s="16"/>
      <c r="AN645" s="16"/>
      <c r="AP645" s="16"/>
      <c r="AR645" s="16"/>
      <c r="AT645" s="16"/>
      <c r="AV645" s="16"/>
    </row>
    <row r="646" spans="3:48" ht="12.75">
      <c r="C646" s="16"/>
      <c r="E646" s="16"/>
      <c r="G646" s="16"/>
      <c r="I646" s="16"/>
      <c r="K646" s="16"/>
      <c r="M646" s="16"/>
      <c r="O646" s="16"/>
      <c r="Q646" s="16"/>
      <c r="R646" s="16"/>
      <c r="T646" s="16"/>
      <c r="V646" s="16"/>
      <c r="X646" s="16"/>
      <c r="Z646" s="16"/>
      <c r="AB646" s="16"/>
      <c r="AD646" s="16"/>
      <c r="AF646" s="16"/>
      <c r="AH646" s="16"/>
      <c r="AJ646" s="16"/>
      <c r="AL646" s="16"/>
      <c r="AN646" s="16"/>
      <c r="AP646" s="16"/>
      <c r="AR646" s="16"/>
      <c r="AT646" s="16"/>
      <c r="AV646" s="16"/>
    </row>
    <row r="647" spans="3:48" ht="12.75">
      <c r="C647" s="16"/>
      <c r="E647" s="16"/>
      <c r="G647" s="16"/>
      <c r="I647" s="16"/>
      <c r="K647" s="16"/>
      <c r="M647" s="16"/>
      <c r="O647" s="16"/>
      <c r="Q647" s="16"/>
      <c r="R647" s="16"/>
      <c r="T647" s="16"/>
      <c r="V647" s="16"/>
      <c r="X647" s="16"/>
      <c r="Z647" s="16"/>
      <c r="AB647" s="16"/>
      <c r="AD647" s="16"/>
      <c r="AF647" s="16"/>
      <c r="AH647" s="16"/>
      <c r="AJ647" s="16"/>
      <c r="AL647" s="16"/>
      <c r="AN647" s="16"/>
      <c r="AP647" s="16"/>
      <c r="AR647" s="16"/>
      <c r="AT647" s="16"/>
      <c r="AV647" s="16"/>
    </row>
    <row r="648" spans="3:48" ht="12.75">
      <c r="C648" s="16"/>
      <c r="E648" s="16"/>
      <c r="G648" s="16"/>
      <c r="I648" s="16"/>
      <c r="K648" s="16"/>
      <c r="M648" s="16"/>
      <c r="O648" s="16"/>
      <c r="Q648" s="16"/>
      <c r="R648" s="16"/>
      <c r="T648" s="16"/>
      <c r="V648" s="16"/>
      <c r="X648" s="16"/>
      <c r="Z648" s="16"/>
      <c r="AB648" s="16"/>
      <c r="AD648" s="16"/>
      <c r="AF648" s="16"/>
      <c r="AH648" s="16"/>
      <c r="AJ648" s="16"/>
      <c r="AL648" s="16"/>
      <c r="AN648" s="16"/>
      <c r="AP648" s="16"/>
      <c r="AR648" s="16"/>
      <c r="AT648" s="16"/>
      <c r="AV648" s="16"/>
    </row>
    <row r="649" spans="3:48" ht="12.75">
      <c r="C649" s="16"/>
      <c r="E649" s="16"/>
      <c r="G649" s="16"/>
      <c r="I649" s="16"/>
      <c r="K649" s="16"/>
      <c r="M649" s="16"/>
      <c r="O649" s="16"/>
      <c r="Q649" s="16"/>
      <c r="R649" s="16"/>
      <c r="T649" s="16"/>
      <c r="V649" s="16"/>
      <c r="X649" s="16"/>
      <c r="Z649" s="16"/>
      <c r="AB649" s="16"/>
      <c r="AD649" s="16"/>
      <c r="AF649" s="16"/>
      <c r="AH649" s="16"/>
      <c r="AJ649" s="16"/>
      <c r="AL649" s="16"/>
      <c r="AN649" s="16"/>
      <c r="AP649" s="16"/>
      <c r="AR649" s="16"/>
      <c r="AT649" s="16"/>
      <c r="AV649" s="16"/>
    </row>
    <row r="650" spans="3:48" ht="12.75">
      <c r="C650" s="16"/>
      <c r="E650" s="16"/>
      <c r="G650" s="16"/>
      <c r="I650" s="16"/>
      <c r="K650" s="16"/>
      <c r="M650" s="16"/>
      <c r="O650" s="16"/>
      <c r="Q650" s="16"/>
      <c r="R650" s="16"/>
      <c r="T650" s="16"/>
      <c r="V650" s="16"/>
      <c r="X650" s="16"/>
      <c r="Z650" s="16"/>
      <c r="AB650" s="16"/>
      <c r="AD650" s="16"/>
      <c r="AF650" s="16"/>
      <c r="AH650" s="16"/>
      <c r="AJ650" s="16"/>
      <c r="AL650" s="16"/>
      <c r="AN650" s="16"/>
      <c r="AP650" s="16"/>
      <c r="AR650" s="16"/>
      <c r="AT650" s="16"/>
      <c r="AV650" s="16"/>
    </row>
    <row r="651" spans="3:48" ht="12.75">
      <c r="C651" s="16"/>
      <c r="E651" s="16"/>
      <c r="G651" s="16"/>
      <c r="I651" s="16"/>
      <c r="K651" s="16"/>
      <c r="M651" s="16"/>
      <c r="O651" s="16"/>
      <c r="Q651" s="16"/>
      <c r="R651" s="16"/>
      <c r="T651" s="16"/>
      <c r="V651" s="16"/>
      <c r="X651" s="16"/>
      <c r="Z651" s="16"/>
      <c r="AB651" s="16"/>
      <c r="AD651" s="16"/>
      <c r="AF651" s="16"/>
      <c r="AH651" s="16"/>
      <c r="AJ651" s="16"/>
      <c r="AL651" s="16"/>
      <c r="AN651" s="16"/>
      <c r="AP651" s="16"/>
      <c r="AR651" s="16"/>
      <c r="AT651" s="16"/>
      <c r="AV651" s="16"/>
    </row>
    <row r="652" spans="3:48" ht="12.75">
      <c r="C652" s="16"/>
      <c r="E652" s="16"/>
      <c r="G652" s="16"/>
      <c r="I652" s="16"/>
      <c r="K652" s="16"/>
      <c r="M652" s="16"/>
      <c r="O652" s="16"/>
      <c r="Q652" s="16"/>
      <c r="R652" s="16"/>
      <c r="T652" s="16"/>
      <c r="V652" s="16"/>
      <c r="X652" s="16"/>
      <c r="Z652" s="16"/>
      <c r="AB652" s="16"/>
      <c r="AD652" s="16"/>
      <c r="AF652" s="16"/>
      <c r="AH652" s="16"/>
      <c r="AJ652" s="16"/>
      <c r="AL652" s="16"/>
      <c r="AN652" s="16"/>
      <c r="AP652" s="16"/>
      <c r="AR652" s="16"/>
      <c r="AT652" s="16"/>
      <c r="AV652" s="16"/>
    </row>
    <row r="653" spans="3:48" ht="12.75">
      <c r="C653" s="16"/>
      <c r="E653" s="16"/>
      <c r="G653" s="16"/>
      <c r="I653" s="16"/>
      <c r="K653" s="16"/>
      <c r="M653" s="16"/>
      <c r="O653" s="16"/>
      <c r="Q653" s="16"/>
      <c r="R653" s="16"/>
      <c r="T653" s="16"/>
      <c r="V653" s="16"/>
      <c r="X653" s="16"/>
      <c r="Z653" s="16"/>
      <c r="AB653" s="16"/>
      <c r="AD653" s="16"/>
      <c r="AF653" s="16"/>
      <c r="AH653" s="16"/>
      <c r="AJ653" s="16"/>
      <c r="AL653" s="16"/>
      <c r="AN653" s="16"/>
      <c r="AP653" s="16"/>
      <c r="AR653" s="16"/>
      <c r="AT653" s="16"/>
      <c r="AV653" s="16"/>
    </row>
    <row r="654" spans="3:48" ht="12.75">
      <c r="C654" s="16"/>
      <c r="E654" s="16"/>
      <c r="G654" s="16"/>
      <c r="I654" s="16"/>
      <c r="K654" s="16"/>
      <c r="M654" s="16"/>
      <c r="O654" s="16"/>
      <c r="Q654" s="16"/>
      <c r="R654" s="16"/>
      <c r="T654" s="16"/>
      <c r="V654" s="16"/>
      <c r="X654" s="16"/>
      <c r="Z654" s="16"/>
      <c r="AB654" s="16"/>
      <c r="AD654" s="16"/>
      <c r="AF654" s="16"/>
      <c r="AH654" s="16"/>
      <c r="AJ654" s="16"/>
      <c r="AL654" s="16"/>
      <c r="AN654" s="16"/>
      <c r="AP654" s="16"/>
      <c r="AR654" s="16"/>
      <c r="AT654" s="16"/>
      <c r="AV654" s="16"/>
    </row>
    <row r="655" spans="3:48" ht="12.75">
      <c r="C655" s="16"/>
      <c r="E655" s="16"/>
      <c r="G655" s="16"/>
      <c r="I655" s="16"/>
      <c r="K655" s="16"/>
      <c r="M655" s="16"/>
      <c r="O655" s="16"/>
      <c r="Q655" s="16"/>
      <c r="R655" s="16"/>
      <c r="T655" s="16"/>
      <c r="V655" s="16"/>
      <c r="X655" s="16"/>
      <c r="Z655" s="16"/>
      <c r="AB655" s="16"/>
      <c r="AD655" s="16"/>
      <c r="AF655" s="16"/>
      <c r="AH655" s="16"/>
      <c r="AJ655" s="16"/>
      <c r="AL655" s="16"/>
      <c r="AN655" s="16"/>
      <c r="AP655" s="16"/>
      <c r="AR655" s="16"/>
      <c r="AT655" s="16"/>
      <c r="AV655" s="16"/>
    </row>
    <row r="656" spans="3:48" ht="12.75">
      <c r="C656" s="16"/>
      <c r="E656" s="16"/>
      <c r="G656" s="16"/>
      <c r="I656" s="16"/>
      <c r="K656" s="16"/>
      <c r="M656" s="16"/>
      <c r="O656" s="16"/>
      <c r="Q656" s="16"/>
      <c r="R656" s="16"/>
      <c r="T656" s="16"/>
      <c r="V656" s="16"/>
      <c r="X656" s="16"/>
      <c r="Z656" s="16"/>
      <c r="AB656" s="16"/>
      <c r="AD656" s="16"/>
      <c r="AF656" s="16"/>
      <c r="AH656" s="16"/>
      <c r="AJ656" s="16"/>
      <c r="AL656" s="16"/>
      <c r="AN656" s="16"/>
      <c r="AP656" s="16"/>
      <c r="AR656" s="16"/>
      <c r="AT656" s="16"/>
      <c r="AV656" s="16"/>
    </row>
    <row r="657" spans="3:48" ht="12.75">
      <c r="C657" s="16"/>
      <c r="E657" s="16"/>
      <c r="G657" s="16"/>
      <c r="I657" s="16"/>
      <c r="K657" s="16"/>
      <c r="M657" s="16"/>
      <c r="O657" s="16"/>
      <c r="Q657" s="16"/>
      <c r="R657" s="16"/>
      <c r="T657" s="16"/>
      <c r="V657" s="16"/>
      <c r="X657" s="16"/>
      <c r="Z657" s="16"/>
      <c r="AB657" s="16"/>
      <c r="AD657" s="16"/>
      <c r="AF657" s="16"/>
      <c r="AH657" s="16"/>
      <c r="AJ657" s="16"/>
      <c r="AL657" s="16"/>
      <c r="AN657" s="16"/>
      <c r="AP657" s="16"/>
      <c r="AR657" s="16"/>
      <c r="AT657" s="16"/>
      <c r="AV657" s="16"/>
    </row>
    <row r="658" spans="3:48" ht="12.75">
      <c r="C658" s="16"/>
      <c r="E658" s="16"/>
      <c r="G658" s="16"/>
      <c r="I658" s="16"/>
      <c r="K658" s="16"/>
      <c r="M658" s="16"/>
      <c r="O658" s="16"/>
      <c r="Q658" s="16"/>
      <c r="R658" s="16"/>
      <c r="T658" s="16"/>
      <c r="V658" s="16"/>
      <c r="X658" s="16"/>
      <c r="Z658" s="16"/>
      <c r="AB658" s="16"/>
      <c r="AD658" s="16"/>
      <c r="AF658" s="16"/>
      <c r="AH658" s="16"/>
      <c r="AJ658" s="16"/>
      <c r="AL658" s="16"/>
      <c r="AN658" s="16"/>
      <c r="AP658" s="16"/>
      <c r="AR658" s="16"/>
      <c r="AT658" s="16"/>
      <c r="AV658" s="16"/>
    </row>
    <row r="659" spans="3:48" ht="12.75">
      <c r="C659" s="16"/>
      <c r="E659" s="16"/>
      <c r="G659" s="16"/>
      <c r="I659" s="16"/>
      <c r="K659" s="16"/>
      <c r="M659" s="16"/>
      <c r="O659" s="16"/>
      <c r="Q659" s="16"/>
      <c r="R659" s="16"/>
      <c r="T659" s="16"/>
      <c r="V659" s="16"/>
      <c r="X659" s="16"/>
      <c r="Z659" s="16"/>
      <c r="AB659" s="16"/>
      <c r="AD659" s="16"/>
      <c r="AF659" s="16"/>
      <c r="AH659" s="16"/>
      <c r="AJ659" s="16"/>
      <c r="AL659" s="16"/>
      <c r="AN659" s="16"/>
      <c r="AP659" s="16"/>
      <c r="AR659" s="16"/>
      <c r="AT659" s="16"/>
      <c r="AV659" s="16"/>
    </row>
    <row r="660" spans="3:48" ht="12.75">
      <c r="C660" s="16"/>
      <c r="E660" s="16"/>
      <c r="G660" s="16"/>
      <c r="I660" s="16"/>
      <c r="K660" s="16"/>
      <c r="M660" s="16"/>
      <c r="O660" s="16"/>
      <c r="Q660" s="16"/>
      <c r="R660" s="16"/>
      <c r="T660" s="16"/>
      <c r="V660" s="16"/>
      <c r="X660" s="16"/>
      <c r="Z660" s="16"/>
      <c r="AB660" s="16"/>
      <c r="AD660" s="16"/>
      <c r="AF660" s="16"/>
      <c r="AH660" s="16"/>
      <c r="AJ660" s="16"/>
      <c r="AL660" s="16"/>
      <c r="AN660" s="16"/>
      <c r="AP660" s="16"/>
      <c r="AR660" s="16"/>
      <c r="AT660" s="16"/>
      <c r="AV660" s="16"/>
    </row>
    <row r="661" spans="3:48" ht="12.75">
      <c r="C661" s="16"/>
      <c r="E661" s="16"/>
      <c r="G661" s="16"/>
      <c r="I661" s="16"/>
      <c r="K661" s="16"/>
      <c r="M661" s="16"/>
      <c r="O661" s="16"/>
      <c r="Q661" s="16"/>
      <c r="R661" s="16"/>
      <c r="T661" s="16"/>
      <c r="V661" s="16"/>
      <c r="X661" s="16"/>
      <c r="Z661" s="16"/>
      <c r="AB661" s="16"/>
      <c r="AD661" s="16"/>
      <c r="AF661" s="16"/>
      <c r="AH661" s="16"/>
      <c r="AJ661" s="16"/>
      <c r="AL661" s="16"/>
      <c r="AN661" s="16"/>
      <c r="AP661" s="16"/>
      <c r="AR661" s="16"/>
      <c r="AT661" s="16"/>
      <c r="AV661" s="16"/>
    </row>
    <row r="662" spans="3:48" ht="12.75">
      <c r="C662" s="16"/>
      <c r="E662" s="16"/>
      <c r="G662" s="16"/>
      <c r="I662" s="16"/>
      <c r="K662" s="16"/>
      <c r="M662" s="16"/>
      <c r="O662" s="16"/>
      <c r="Q662" s="16"/>
      <c r="R662" s="16"/>
      <c r="T662" s="16"/>
      <c r="V662" s="16"/>
      <c r="X662" s="16"/>
      <c r="Z662" s="16"/>
      <c r="AB662" s="16"/>
      <c r="AD662" s="16"/>
      <c r="AF662" s="16"/>
      <c r="AH662" s="16"/>
      <c r="AJ662" s="16"/>
      <c r="AL662" s="16"/>
      <c r="AN662" s="16"/>
      <c r="AP662" s="16"/>
      <c r="AR662" s="16"/>
      <c r="AT662" s="16"/>
      <c r="AV662" s="16"/>
    </row>
    <row r="663" spans="3:48" ht="12.75">
      <c r="C663" s="16"/>
      <c r="E663" s="16"/>
      <c r="G663" s="16"/>
      <c r="I663" s="16"/>
      <c r="K663" s="16"/>
      <c r="M663" s="16"/>
      <c r="O663" s="16"/>
      <c r="Q663" s="16"/>
      <c r="R663" s="16"/>
      <c r="T663" s="16"/>
      <c r="V663" s="16"/>
      <c r="X663" s="16"/>
      <c r="Z663" s="16"/>
      <c r="AB663" s="16"/>
      <c r="AD663" s="16"/>
      <c r="AF663" s="16"/>
      <c r="AH663" s="16"/>
      <c r="AJ663" s="16"/>
      <c r="AL663" s="16"/>
      <c r="AN663" s="16"/>
      <c r="AP663" s="16"/>
      <c r="AR663" s="16"/>
      <c r="AT663" s="16"/>
      <c r="AV663" s="16"/>
    </row>
    <row r="664" spans="3:48" ht="12.75">
      <c r="C664" s="16"/>
      <c r="E664" s="16"/>
      <c r="G664" s="16"/>
      <c r="I664" s="16"/>
      <c r="K664" s="16"/>
      <c r="M664" s="16"/>
      <c r="O664" s="16"/>
      <c r="Q664" s="16"/>
      <c r="R664" s="16"/>
      <c r="T664" s="16"/>
      <c r="V664" s="16"/>
      <c r="X664" s="16"/>
      <c r="Z664" s="16"/>
      <c r="AB664" s="16"/>
      <c r="AD664" s="16"/>
      <c r="AF664" s="16"/>
      <c r="AH664" s="16"/>
      <c r="AJ664" s="16"/>
      <c r="AL664" s="16"/>
      <c r="AN664" s="16"/>
      <c r="AP664" s="16"/>
      <c r="AR664" s="16"/>
      <c r="AT664" s="16"/>
      <c r="AV664" s="16"/>
    </row>
    <row r="665" spans="3:48" ht="12.75">
      <c r="C665" s="16"/>
      <c r="E665" s="16"/>
      <c r="G665" s="16"/>
      <c r="I665" s="16"/>
      <c r="K665" s="16"/>
      <c r="M665" s="16"/>
      <c r="O665" s="16"/>
      <c r="Q665" s="16"/>
      <c r="R665" s="16"/>
      <c r="T665" s="16"/>
      <c r="V665" s="16"/>
      <c r="X665" s="16"/>
      <c r="Z665" s="16"/>
      <c r="AB665" s="16"/>
      <c r="AD665" s="16"/>
      <c r="AF665" s="16"/>
      <c r="AH665" s="16"/>
      <c r="AJ665" s="16"/>
      <c r="AL665" s="16"/>
      <c r="AN665" s="16"/>
      <c r="AP665" s="16"/>
      <c r="AR665" s="16"/>
      <c r="AT665" s="16"/>
      <c r="AV665" s="16"/>
    </row>
    <row r="666" spans="3:48" ht="12.75">
      <c r="C666" s="16"/>
      <c r="E666" s="16"/>
      <c r="G666" s="16"/>
      <c r="I666" s="16"/>
      <c r="K666" s="16"/>
      <c r="M666" s="16"/>
      <c r="O666" s="16"/>
      <c r="Q666" s="16"/>
      <c r="R666" s="16"/>
      <c r="T666" s="16"/>
      <c r="V666" s="16"/>
      <c r="X666" s="16"/>
      <c r="Z666" s="16"/>
      <c r="AB666" s="16"/>
      <c r="AD666" s="16"/>
      <c r="AF666" s="16"/>
      <c r="AH666" s="16"/>
      <c r="AJ666" s="16"/>
      <c r="AL666" s="16"/>
      <c r="AN666" s="16"/>
      <c r="AP666" s="16"/>
      <c r="AR666" s="16"/>
      <c r="AT666" s="16"/>
      <c r="AV666" s="16"/>
    </row>
    <row r="667" spans="3:48" ht="12.75">
      <c r="C667" s="16"/>
      <c r="E667" s="16"/>
      <c r="G667" s="16"/>
      <c r="I667" s="16"/>
      <c r="K667" s="16"/>
      <c r="M667" s="16"/>
      <c r="O667" s="16"/>
      <c r="Q667" s="16"/>
      <c r="R667" s="16"/>
      <c r="T667" s="16"/>
      <c r="V667" s="16"/>
      <c r="X667" s="16"/>
      <c r="Z667" s="16"/>
      <c r="AB667" s="16"/>
      <c r="AD667" s="16"/>
      <c r="AF667" s="16"/>
      <c r="AH667" s="16"/>
      <c r="AJ667" s="16"/>
      <c r="AL667" s="16"/>
      <c r="AN667" s="16"/>
      <c r="AP667" s="16"/>
      <c r="AR667" s="16"/>
      <c r="AT667" s="16"/>
      <c r="AV667" s="16"/>
    </row>
    <row r="668" spans="3:48" ht="12.75">
      <c r="C668" s="16"/>
      <c r="E668" s="16"/>
      <c r="G668" s="16"/>
      <c r="I668" s="16"/>
      <c r="K668" s="16"/>
      <c r="M668" s="16"/>
      <c r="O668" s="16"/>
      <c r="Q668" s="16"/>
      <c r="R668" s="16"/>
      <c r="T668" s="16"/>
      <c r="V668" s="16"/>
      <c r="X668" s="16"/>
      <c r="Z668" s="16"/>
      <c r="AB668" s="16"/>
      <c r="AD668" s="16"/>
      <c r="AF668" s="16"/>
      <c r="AH668" s="16"/>
      <c r="AJ668" s="16"/>
      <c r="AL668" s="16"/>
      <c r="AN668" s="16"/>
      <c r="AP668" s="16"/>
      <c r="AR668" s="16"/>
      <c r="AT668" s="16"/>
      <c r="AV668" s="16"/>
    </row>
    <row r="669" spans="3:48" ht="12.75">
      <c r="C669" s="16"/>
      <c r="E669" s="16"/>
      <c r="G669" s="16"/>
      <c r="I669" s="16"/>
      <c r="K669" s="16"/>
      <c r="M669" s="16"/>
      <c r="O669" s="16"/>
      <c r="Q669" s="16"/>
      <c r="R669" s="16"/>
      <c r="T669" s="16"/>
      <c r="V669" s="16"/>
      <c r="X669" s="16"/>
      <c r="Z669" s="16"/>
      <c r="AB669" s="16"/>
      <c r="AD669" s="16"/>
      <c r="AF669" s="16"/>
      <c r="AH669" s="16"/>
      <c r="AJ669" s="16"/>
      <c r="AL669" s="16"/>
      <c r="AN669" s="16"/>
      <c r="AP669" s="16"/>
      <c r="AR669" s="16"/>
      <c r="AT669" s="16"/>
      <c r="AV669" s="16"/>
    </row>
    <row r="670" spans="3:48" ht="12.75">
      <c r="C670" s="16"/>
      <c r="E670" s="16"/>
      <c r="G670" s="16"/>
      <c r="I670" s="16"/>
      <c r="K670" s="16"/>
      <c r="M670" s="16"/>
      <c r="O670" s="16"/>
      <c r="Q670" s="16"/>
      <c r="R670" s="16"/>
      <c r="T670" s="16"/>
      <c r="V670" s="16"/>
      <c r="X670" s="16"/>
      <c r="Z670" s="16"/>
      <c r="AB670" s="16"/>
      <c r="AD670" s="16"/>
      <c r="AF670" s="16"/>
      <c r="AH670" s="16"/>
      <c r="AJ670" s="16"/>
      <c r="AL670" s="16"/>
      <c r="AN670" s="16"/>
      <c r="AP670" s="16"/>
      <c r="AR670" s="16"/>
      <c r="AT670" s="16"/>
      <c r="AV670" s="16"/>
    </row>
    <row r="671" spans="3:48" ht="12.75">
      <c r="C671" s="16"/>
      <c r="E671" s="16"/>
      <c r="G671" s="16"/>
      <c r="I671" s="16"/>
      <c r="K671" s="16"/>
      <c r="M671" s="16"/>
      <c r="O671" s="16"/>
      <c r="Q671" s="16"/>
      <c r="R671" s="16"/>
      <c r="T671" s="16"/>
      <c r="V671" s="16"/>
      <c r="X671" s="16"/>
      <c r="Z671" s="16"/>
      <c r="AB671" s="16"/>
      <c r="AD671" s="16"/>
      <c r="AF671" s="16"/>
      <c r="AH671" s="16"/>
      <c r="AJ671" s="16"/>
      <c r="AL671" s="16"/>
      <c r="AN671" s="16"/>
      <c r="AP671" s="16"/>
      <c r="AR671" s="16"/>
      <c r="AT671" s="16"/>
      <c r="AV671" s="16"/>
    </row>
    <row r="672" spans="3:48" ht="12.75">
      <c r="C672" s="16"/>
      <c r="E672" s="16"/>
      <c r="G672" s="16"/>
      <c r="I672" s="16"/>
      <c r="K672" s="16"/>
      <c r="M672" s="16"/>
      <c r="O672" s="16"/>
      <c r="Q672" s="16"/>
      <c r="R672" s="16"/>
      <c r="T672" s="16"/>
      <c r="V672" s="16"/>
      <c r="X672" s="16"/>
      <c r="Z672" s="16"/>
      <c r="AB672" s="16"/>
      <c r="AD672" s="16"/>
      <c r="AF672" s="16"/>
      <c r="AH672" s="16"/>
      <c r="AJ672" s="16"/>
      <c r="AL672" s="16"/>
      <c r="AN672" s="16"/>
      <c r="AP672" s="16"/>
      <c r="AR672" s="16"/>
      <c r="AT672" s="16"/>
      <c r="AV672" s="16"/>
    </row>
    <row r="673" spans="3:48" ht="12.75">
      <c r="C673" s="16"/>
      <c r="E673" s="16"/>
      <c r="G673" s="16"/>
      <c r="I673" s="16"/>
      <c r="K673" s="16"/>
      <c r="M673" s="16"/>
      <c r="O673" s="16"/>
      <c r="Q673" s="16"/>
      <c r="R673" s="16"/>
      <c r="T673" s="16"/>
      <c r="V673" s="16"/>
      <c r="X673" s="16"/>
      <c r="Z673" s="16"/>
      <c r="AB673" s="16"/>
      <c r="AD673" s="16"/>
      <c r="AF673" s="16"/>
      <c r="AH673" s="16"/>
      <c r="AJ673" s="16"/>
      <c r="AL673" s="16"/>
      <c r="AN673" s="16"/>
      <c r="AP673" s="16"/>
      <c r="AR673" s="16"/>
      <c r="AT673" s="16"/>
      <c r="AV673" s="16"/>
    </row>
    <row r="674" spans="3:48" ht="12.75">
      <c r="C674" s="16"/>
      <c r="E674" s="16"/>
      <c r="G674" s="16"/>
      <c r="I674" s="16"/>
      <c r="K674" s="16"/>
      <c r="M674" s="16"/>
      <c r="O674" s="16"/>
      <c r="Q674" s="16"/>
      <c r="R674" s="16"/>
      <c r="T674" s="16"/>
      <c r="V674" s="16"/>
      <c r="X674" s="16"/>
      <c r="Z674" s="16"/>
      <c r="AB674" s="16"/>
      <c r="AD674" s="16"/>
      <c r="AF674" s="16"/>
      <c r="AH674" s="16"/>
      <c r="AJ674" s="16"/>
      <c r="AL674" s="16"/>
      <c r="AN674" s="16"/>
      <c r="AP674" s="16"/>
      <c r="AR674" s="16"/>
      <c r="AT674" s="16"/>
      <c r="AV674" s="16"/>
    </row>
    <row r="675" spans="3:48" ht="12.75">
      <c r="C675" s="16"/>
      <c r="E675" s="16"/>
      <c r="G675" s="16"/>
      <c r="I675" s="16"/>
      <c r="K675" s="16"/>
      <c r="M675" s="16"/>
      <c r="O675" s="16"/>
      <c r="Q675" s="16"/>
      <c r="R675" s="16"/>
      <c r="T675" s="16"/>
      <c r="V675" s="16"/>
      <c r="X675" s="16"/>
      <c r="Z675" s="16"/>
      <c r="AB675" s="16"/>
      <c r="AD675" s="16"/>
      <c r="AF675" s="16"/>
      <c r="AH675" s="16"/>
      <c r="AJ675" s="16"/>
      <c r="AL675" s="16"/>
      <c r="AN675" s="16"/>
      <c r="AP675" s="16"/>
      <c r="AR675" s="16"/>
      <c r="AT675" s="16"/>
      <c r="AV675" s="16"/>
    </row>
    <row r="676" spans="3:48" ht="12.75">
      <c r="C676" s="16"/>
      <c r="E676" s="16"/>
      <c r="G676" s="16"/>
      <c r="I676" s="16"/>
      <c r="K676" s="16"/>
      <c r="M676" s="16"/>
      <c r="O676" s="16"/>
      <c r="Q676" s="16"/>
      <c r="R676" s="16"/>
      <c r="T676" s="16"/>
      <c r="V676" s="16"/>
      <c r="X676" s="16"/>
      <c r="Z676" s="16"/>
      <c r="AB676" s="16"/>
      <c r="AD676" s="16"/>
      <c r="AF676" s="16"/>
      <c r="AH676" s="16"/>
      <c r="AJ676" s="16"/>
      <c r="AL676" s="16"/>
      <c r="AN676" s="16"/>
      <c r="AP676" s="16"/>
      <c r="AR676" s="16"/>
      <c r="AT676" s="16"/>
      <c r="AV676" s="16"/>
    </row>
    <row r="677" spans="3:48" ht="12.75">
      <c r="C677" s="16"/>
      <c r="E677" s="16"/>
      <c r="G677" s="16"/>
      <c r="I677" s="16"/>
      <c r="K677" s="16"/>
      <c r="M677" s="16"/>
      <c r="O677" s="16"/>
      <c r="Q677" s="16"/>
      <c r="R677" s="16"/>
      <c r="T677" s="16"/>
      <c r="V677" s="16"/>
      <c r="X677" s="16"/>
      <c r="Z677" s="16"/>
      <c r="AB677" s="16"/>
      <c r="AD677" s="16"/>
      <c r="AF677" s="16"/>
      <c r="AH677" s="16"/>
      <c r="AJ677" s="16"/>
      <c r="AL677" s="16"/>
      <c r="AN677" s="16"/>
      <c r="AP677" s="16"/>
      <c r="AR677" s="16"/>
      <c r="AT677" s="16"/>
      <c r="AV677" s="16"/>
    </row>
    <row r="678" spans="3:48" ht="12.75">
      <c r="C678" s="16"/>
      <c r="E678" s="16"/>
      <c r="G678" s="16"/>
      <c r="I678" s="16"/>
      <c r="K678" s="16"/>
      <c r="M678" s="16"/>
      <c r="O678" s="16"/>
      <c r="Q678" s="16"/>
      <c r="R678" s="16"/>
      <c r="T678" s="16"/>
      <c r="V678" s="16"/>
      <c r="X678" s="16"/>
      <c r="Z678" s="16"/>
      <c r="AB678" s="16"/>
      <c r="AD678" s="16"/>
      <c r="AF678" s="16"/>
      <c r="AH678" s="16"/>
      <c r="AJ678" s="16"/>
      <c r="AL678" s="16"/>
      <c r="AN678" s="16"/>
      <c r="AP678" s="16"/>
      <c r="AR678" s="16"/>
      <c r="AT678" s="16"/>
      <c r="AV678" s="16"/>
    </row>
    <row r="679" spans="3:48" ht="12.75">
      <c r="C679" s="16"/>
      <c r="E679" s="16"/>
      <c r="G679" s="16"/>
      <c r="I679" s="16"/>
      <c r="K679" s="16"/>
      <c r="M679" s="16"/>
      <c r="O679" s="16"/>
      <c r="Q679" s="16"/>
      <c r="R679" s="16"/>
      <c r="T679" s="16"/>
      <c r="V679" s="16"/>
      <c r="X679" s="16"/>
      <c r="Z679" s="16"/>
      <c r="AB679" s="16"/>
      <c r="AD679" s="16"/>
      <c r="AF679" s="16"/>
      <c r="AH679" s="16"/>
      <c r="AJ679" s="16"/>
      <c r="AL679" s="16"/>
      <c r="AN679" s="16"/>
      <c r="AP679" s="16"/>
      <c r="AR679" s="16"/>
      <c r="AT679" s="16"/>
      <c r="AV679" s="16"/>
    </row>
    <row r="680" spans="3:48" ht="12.75">
      <c r="C680" s="16"/>
      <c r="E680" s="16"/>
      <c r="G680" s="16"/>
      <c r="I680" s="16"/>
      <c r="K680" s="16"/>
      <c r="M680" s="16"/>
      <c r="O680" s="16"/>
      <c r="Q680" s="16"/>
      <c r="R680" s="16"/>
      <c r="T680" s="16"/>
      <c r="V680" s="16"/>
      <c r="X680" s="16"/>
      <c r="Z680" s="16"/>
      <c r="AB680" s="16"/>
      <c r="AD680" s="16"/>
      <c r="AF680" s="16"/>
      <c r="AH680" s="16"/>
      <c r="AJ680" s="16"/>
      <c r="AL680" s="16"/>
      <c r="AN680" s="16"/>
      <c r="AP680" s="16"/>
      <c r="AR680" s="16"/>
      <c r="AT680" s="16"/>
      <c r="AV680" s="16"/>
    </row>
    <row r="681" spans="3:48" ht="12.75">
      <c r="C681" s="16"/>
      <c r="E681" s="16"/>
      <c r="G681" s="16"/>
      <c r="I681" s="16"/>
      <c r="K681" s="16"/>
      <c r="M681" s="16"/>
      <c r="O681" s="16"/>
      <c r="Q681" s="16"/>
      <c r="R681" s="16"/>
      <c r="T681" s="16"/>
      <c r="V681" s="16"/>
      <c r="X681" s="16"/>
      <c r="Z681" s="16"/>
      <c r="AB681" s="16"/>
      <c r="AD681" s="16"/>
      <c r="AF681" s="16"/>
      <c r="AH681" s="16"/>
      <c r="AJ681" s="16"/>
      <c r="AL681" s="16"/>
      <c r="AN681" s="16"/>
      <c r="AP681" s="16"/>
      <c r="AR681" s="16"/>
      <c r="AT681" s="16"/>
      <c r="AV681" s="16"/>
    </row>
    <row r="682" spans="3:48" ht="12.75">
      <c r="C682" s="16"/>
      <c r="E682" s="16"/>
      <c r="G682" s="16"/>
      <c r="I682" s="16"/>
      <c r="K682" s="16"/>
      <c r="M682" s="16"/>
      <c r="O682" s="16"/>
      <c r="Q682" s="16"/>
      <c r="R682" s="16"/>
      <c r="T682" s="16"/>
      <c r="V682" s="16"/>
      <c r="X682" s="16"/>
      <c r="Z682" s="16"/>
      <c r="AB682" s="16"/>
      <c r="AD682" s="16"/>
      <c r="AF682" s="16"/>
      <c r="AH682" s="16"/>
      <c r="AJ682" s="16"/>
      <c r="AL682" s="16"/>
      <c r="AN682" s="16"/>
      <c r="AP682" s="16"/>
      <c r="AR682" s="16"/>
      <c r="AT682" s="16"/>
      <c r="AV682" s="16"/>
    </row>
    <row r="683" spans="3:48" ht="12.75">
      <c r="C683" s="16"/>
      <c r="E683" s="16"/>
      <c r="G683" s="16"/>
      <c r="I683" s="16"/>
      <c r="K683" s="16"/>
      <c r="M683" s="16"/>
      <c r="O683" s="16"/>
      <c r="Q683" s="16"/>
      <c r="R683" s="16"/>
      <c r="T683" s="16"/>
      <c r="V683" s="16"/>
      <c r="X683" s="16"/>
      <c r="Z683" s="16"/>
      <c r="AB683" s="16"/>
      <c r="AD683" s="16"/>
      <c r="AF683" s="16"/>
      <c r="AH683" s="16"/>
      <c r="AJ683" s="16"/>
      <c r="AL683" s="16"/>
      <c r="AN683" s="16"/>
      <c r="AP683" s="16"/>
      <c r="AR683" s="16"/>
      <c r="AT683" s="16"/>
      <c r="AV683" s="16"/>
    </row>
    <row r="684" spans="3:48" ht="12.75">
      <c r="C684" s="16"/>
      <c r="E684" s="16"/>
      <c r="G684" s="16"/>
      <c r="I684" s="16"/>
      <c r="K684" s="16"/>
      <c r="M684" s="16"/>
      <c r="O684" s="16"/>
      <c r="Q684" s="16"/>
      <c r="R684" s="16"/>
      <c r="T684" s="16"/>
      <c r="V684" s="16"/>
      <c r="X684" s="16"/>
      <c r="Z684" s="16"/>
      <c r="AB684" s="16"/>
      <c r="AD684" s="16"/>
      <c r="AF684" s="16"/>
      <c r="AH684" s="16"/>
      <c r="AJ684" s="16"/>
      <c r="AL684" s="16"/>
      <c r="AN684" s="16"/>
      <c r="AP684" s="16"/>
      <c r="AR684" s="16"/>
      <c r="AT684" s="16"/>
      <c r="AV684" s="16"/>
    </row>
    <row r="685" spans="3:48" ht="12.75">
      <c r="C685" s="16"/>
      <c r="E685" s="16"/>
      <c r="G685" s="16"/>
      <c r="I685" s="16"/>
      <c r="K685" s="16"/>
      <c r="M685" s="16"/>
      <c r="O685" s="16"/>
      <c r="Q685" s="16"/>
      <c r="R685" s="16"/>
      <c r="T685" s="16"/>
      <c r="V685" s="16"/>
      <c r="X685" s="16"/>
      <c r="Z685" s="16"/>
      <c r="AB685" s="16"/>
      <c r="AD685" s="16"/>
      <c r="AF685" s="16"/>
      <c r="AH685" s="16"/>
      <c r="AJ685" s="16"/>
      <c r="AL685" s="16"/>
      <c r="AN685" s="16"/>
      <c r="AP685" s="16"/>
      <c r="AR685" s="16"/>
      <c r="AT685" s="16"/>
      <c r="AV685" s="16"/>
    </row>
    <row r="686" spans="3:48" ht="12.75">
      <c r="C686" s="16"/>
      <c r="E686" s="16"/>
      <c r="G686" s="16"/>
      <c r="I686" s="16"/>
      <c r="K686" s="16"/>
      <c r="M686" s="16"/>
      <c r="O686" s="16"/>
      <c r="Q686" s="16"/>
      <c r="R686" s="16"/>
      <c r="T686" s="16"/>
      <c r="V686" s="16"/>
      <c r="X686" s="16"/>
      <c r="Z686" s="16"/>
      <c r="AB686" s="16"/>
      <c r="AD686" s="16"/>
      <c r="AF686" s="16"/>
      <c r="AH686" s="16"/>
      <c r="AJ686" s="16"/>
      <c r="AL686" s="16"/>
      <c r="AN686" s="16"/>
      <c r="AP686" s="16"/>
      <c r="AR686" s="16"/>
      <c r="AT686" s="16"/>
      <c r="AV686" s="16"/>
    </row>
    <row r="687" spans="3:48" ht="12.75">
      <c r="C687" s="16"/>
      <c r="E687" s="16"/>
      <c r="G687" s="16"/>
      <c r="I687" s="16"/>
      <c r="K687" s="16"/>
      <c r="M687" s="16"/>
      <c r="O687" s="16"/>
      <c r="Q687" s="16"/>
      <c r="R687" s="16"/>
      <c r="T687" s="16"/>
      <c r="V687" s="16"/>
      <c r="X687" s="16"/>
      <c r="Z687" s="16"/>
      <c r="AB687" s="16"/>
      <c r="AD687" s="16"/>
      <c r="AF687" s="16"/>
      <c r="AH687" s="16"/>
      <c r="AJ687" s="16"/>
      <c r="AL687" s="16"/>
      <c r="AN687" s="16"/>
      <c r="AP687" s="16"/>
      <c r="AR687" s="16"/>
      <c r="AT687" s="16"/>
      <c r="AV687" s="16"/>
    </row>
    <row r="688" spans="3:48" ht="12.75">
      <c r="C688" s="16"/>
      <c r="E688" s="16"/>
      <c r="G688" s="16"/>
      <c r="I688" s="16"/>
      <c r="K688" s="16"/>
      <c r="M688" s="16"/>
      <c r="O688" s="16"/>
      <c r="Q688" s="16"/>
      <c r="R688" s="16"/>
      <c r="T688" s="16"/>
      <c r="V688" s="16"/>
      <c r="X688" s="16"/>
      <c r="Z688" s="16"/>
      <c r="AB688" s="16"/>
      <c r="AD688" s="16"/>
      <c r="AF688" s="16"/>
      <c r="AH688" s="16"/>
      <c r="AJ688" s="16"/>
      <c r="AL688" s="16"/>
      <c r="AN688" s="16"/>
      <c r="AP688" s="16"/>
      <c r="AR688" s="16"/>
      <c r="AT688" s="16"/>
      <c r="AV688" s="16"/>
    </row>
    <row r="689" spans="3:48" ht="12.75">
      <c r="C689" s="16"/>
      <c r="E689" s="16"/>
      <c r="G689" s="16"/>
      <c r="I689" s="16"/>
      <c r="K689" s="16"/>
      <c r="M689" s="16"/>
      <c r="O689" s="16"/>
      <c r="Q689" s="16"/>
      <c r="R689" s="16"/>
      <c r="T689" s="16"/>
      <c r="V689" s="16"/>
      <c r="X689" s="16"/>
      <c r="Z689" s="16"/>
      <c r="AB689" s="16"/>
      <c r="AD689" s="16"/>
      <c r="AF689" s="16"/>
      <c r="AH689" s="16"/>
      <c r="AJ689" s="16"/>
      <c r="AL689" s="16"/>
      <c r="AN689" s="16"/>
      <c r="AP689" s="16"/>
      <c r="AR689" s="16"/>
      <c r="AT689" s="16"/>
      <c r="AV689" s="16"/>
    </row>
    <row r="690" spans="3:48" ht="12.75">
      <c r="C690" s="16"/>
      <c r="E690" s="16"/>
      <c r="G690" s="16"/>
      <c r="I690" s="16"/>
      <c r="K690" s="16"/>
      <c r="M690" s="16"/>
      <c r="O690" s="16"/>
      <c r="Q690" s="16"/>
      <c r="R690" s="16"/>
      <c r="T690" s="16"/>
      <c r="V690" s="16"/>
      <c r="X690" s="16"/>
      <c r="Z690" s="16"/>
      <c r="AB690" s="16"/>
      <c r="AD690" s="16"/>
      <c r="AF690" s="16"/>
      <c r="AH690" s="16"/>
      <c r="AJ690" s="16"/>
      <c r="AL690" s="16"/>
      <c r="AN690" s="16"/>
      <c r="AP690" s="16"/>
      <c r="AR690" s="16"/>
      <c r="AT690" s="16"/>
      <c r="AV690" s="16"/>
    </row>
    <row r="691" spans="3:48" ht="12.75">
      <c r="C691" s="16"/>
      <c r="E691" s="16"/>
      <c r="G691" s="16"/>
      <c r="I691" s="16"/>
      <c r="K691" s="16"/>
      <c r="M691" s="16"/>
      <c r="O691" s="16"/>
      <c r="Q691" s="16"/>
      <c r="R691" s="16"/>
      <c r="T691" s="16"/>
      <c r="V691" s="16"/>
      <c r="X691" s="16"/>
      <c r="Z691" s="16"/>
      <c r="AB691" s="16"/>
      <c r="AD691" s="16"/>
      <c r="AF691" s="16"/>
      <c r="AH691" s="16"/>
      <c r="AJ691" s="16"/>
      <c r="AL691" s="16"/>
      <c r="AN691" s="16"/>
      <c r="AP691" s="16"/>
      <c r="AR691" s="16"/>
      <c r="AT691" s="16"/>
      <c r="AV691" s="16"/>
    </row>
    <row r="692" spans="3:48" ht="12.75">
      <c r="C692" s="16"/>
      <c r="E692" s="16"/>
      <c r="G692" s="16"/>
      <c r="I692" s="16"/>
      <c r="K692" s="16"/>
      <c r="M692" s="16"/>
      <c r="O692" s="16"/>
      <c r="Q692" s="16"/>
      <c r="R692" s="16"/>
      <c r="T692" s="16"/>
      <c r="V692" s="16"/>
      <c r="X692" s="16"/>
      <c r="Z692" s="16"/>
      <c r="AB692" s="16"/>
      <c r="AD692" s="16"/>
      <c r="AF692" s="16"/>
      <c r="AH692" s="16"/>
      <c r="AJ692" s="16"/>
      <c r="AL692" s="16"/>
      <c r="AN692" s="16"/>
      <c r="AP692" s="16"/>
      <c r="AR692" s="16"/>
      <c r="AT692" s="16"/>
      <c r="AV692" s="16"/>
    </row>
    <row r="693" spans="3:48" ht="12.75">
      <c r="C693" s="16"/>
      <c r="E693" s="16"/>
      <c r="G693" s="16"/>
      <c r="I693" s="16"/>
      <c r="K693" s="16"/>
      <c r="M693" s="16"/>
      <c r="O693" s="16"/>
      <c r="Q693" s="16"/>
      <c r="R693" s="16"/>
      <c r="T693" s="16"/>
      <c r="V693" s="16"/>
      <c r="X693" s="16"/>
      <c r="Z693" s="16"/>
      <c r="AB693" s="16"/>
      <c r="AD693" s="16"/>
      <c r="AF693" s="16"/>
      <c r="AH693" s="16"/>
      <c r="AJ693" s="16"/>
      <c r="AL693" s="16"/>
      <c r="AN693" s="16"/>
      <c r="AP693" s="16"/>
      <c r="AR693" s="16"/>
      <c r="AT693" s="16"/>
      <c r="AV693" s="16"/>
    </row>
    <row r="694" spans="3:48" ht="12.75">
      <c r="C694" s="16"/>
      <c r="E694" s="16"/>
      <c r="G694" s="16"/>
      <c r="I694" s="16"/>
      <c r="K694" s="16"/>
      <c r="M694" s="16"/>
      <c r="O694" s="16"/>
      <c r="Q694" s="16"/>
      <c r="R694" s="16"/>
      <c r="T694" s="16"/>
      <c r="V694" s="16"/>
      <c r="X694" s="16"/>
      <c r="Z694" s="16"/>
      <c r="AB694" s="16"/>
      <c r="AD694" s="16"/>
      <c r="AF694" s="16"/>
      <c r="AH694" s="16"/>
      <c r="AJ694" s="16"/>
      <c r="AL694" s="16"/>
      <c r="AN694" s="16"/>
      <c r="AP694" s="16"/>
      <c r="AR694" s="16"/>
      <c r="AT694" s="16"/>
      <c r="AV694" s="16"/>
    </row>
    <row r="695" spans="3:48" ht="12.75">
      <c r="C695" s="16"/>
      <c r="E695" s="16"/>
      <c r="G695" s="16"/>
      <c r="I695" s="16"/>
      <c r="K695" s="16"/>
      <c r="M695" s="16"/>
      <c r="O695" s="16"/>
      <c r="Q695" s="16"/>
      <c r="R695" s="16"/>
      <c r="T695" s="16"/>
      <c r="V695" s="16"/>
      <c r="X695" s="16"/>
      <c r="Z695" s="16"/>
      <c r="AB695" s="16"/>
      <c r="AD695" s="16"/>
      <c r="AF695" s="16"/>
      <c r="AH695" s="16"/>
      <c r="AJ695" s="16"/>
      <c r="AL695" s="16"/>
      <c r="AN695" s="16"/>
      <c r="AP695" s="16"/>
      <c r="AR695" s="16"/>
      <c r="AT695" s="16"/>
      <c r="AV695" s="16"/>
    </row>
    <row r="696" spans="3:48" ht="12.75">
      <c r="C696" s="16"/>
      <c r="E696" s="16"/>
      <c r="G696" s="16"/>
      <c r="I696" s="16"/>
      <c r="K696" s="16"/>
      <c r="M696" s="16"/>
      <c r="O696" s="16"/>
      <c r="Q696" s="16"/>
      <c r="R696" s="16"/>
      <c r="T696" s="16"/>
      <c r="V696" s="16"/>
      <c r="X696" s="16"/>
      <c r="Z696" s="16"/>
      <c r="AB696" s="16"/>
      <c r="AD696" s="16"/>
      <c r="AF696" s="16"/>
      <c r="AH696" s="16"/>
      <c r="AJ696" s="16"/>
      <c r="AL696" s="16"/>
      <c r="AN696" s="16"/>
      <c r="AP696" s="16"/>
      <c r="AR696" s="16"/>
      <c r="AT696" s="16"/>
      <c r="AV696" s="16"/>
    </row>
    <row r="697" spans="3:48" ht="12.75">
      <c r="C697" s="16"/>
      <c r="E697" s="16"/>
      <c r="G697" s="16"/>
      <c r="I697" s="16"/>
      <c r="K697" s="16"/>
      <c r="M697" s="16"/>
      <c r="O697" s="16"/>
      <c r="Q697" s="16"/>
      <c r="R697" s="16"/>
      <c r="T697" s="16"/>
      <c r="V697" s="16"/>
      <c r="X697" s="16"/>
      <c r="Z697" s="16"/>
      <c r="AB697" s="16"/>
      <c r="AD697" s="16"/>
      <c r="AF697" s="16"/>
      <c r="AH697" s="16"/>
      <c r="AJ697" s="16"/>
      <c r="AL697" s="16"/>
      <c r="AN697" s="16"/>
      <c r="AP697" s="16"/>
      <c r="AR697" s="16"/>
      <c r="AT697" s="16"/>
      <c r="AV697" s="16"/>
    </row>
    <row r="698" spans="3:48" ht="12.75">
      <c r="C698" s="16"/>
      <c r="E698" s="16"/>
      <c r="G698" s="16"/>
      <c r="I698" s="16"/>
      <c r="K698" s="16"/>
      <c r="M698" s="16"/>
      <c r="O698" s="16"/>
      <c r="Q698" s="16"/>
      <c r="R698" s="16"/>
      <c r="T698" s="16"/>
      <c r="V698" s="16"/>
      <c r="X698" s="16"/>
      <c r="Z698" s="16"/>
      <c r="AB698" s="16"/>
      <c r="AD698" s="16"/>
      <c r="AF698" s="16"/>
      <c r="AH698" s="16"/>
      <c r="AJ698" s="16"/>
      <c r="AL698" s="16"/>
      <c r="AN698" s="16"/>
      <c r="AP698" s="16"/>
      <c r="AR698" s="16"/>
      <c r="AT698" s="16"/>
      <c r="AV698" s="16"/>
    </row>
    <row r="699" spans="3:48" ht="12.75">
      <c r="C699" s="16"/>
      <c r="E699" s="16"/>
      <c r="G699" s="16"/>
      <c r="I699" s="16"/>
      <c r="K699" s="16"/>
      <c r="M699" s="16"/>
      <c r="O699" s="16"/>
      <c r="Q699" s="16"/>
      <c r="R699" s="16"/>
      <c r="T699" s="16"/>
      <c r="V699" s="16"/>
      <c r="X699" s="16"/>
      <c r="Z699" s="16"/>
      <c r="AB699" s="16"/>
      <c r="AD699" s="16"/>
      <c r="AF699" s="16"/>
      <c r="AH699" s="16"/>
      <c r="AJ699" s="16"/>
      <c r="AL699" s="16"/>
      <c r="AN699" s="16"/>
      <c r="AP699" s="16"/>
      <c r="AR699" s="16"/>
      <c r="AT699" s="16"/>
      <c r="AV699" s="16"/>
    </row>
    <row r="700" spans="3:48" ht="12.75">
      <c r="C700" s="16"/>
      <c r="E700" s="16"/>
      <c r="G700" s="16"/>
      <c r="I700" s="16"/>
      <c r="K700" s="16"/>
      <c r="M700" s="16"/>
      <c r="O700" s="16"/>
      <c r="Q700" s="16"/>
      <c r="R700" s="16"/>
      <c r="T700" s="16"/>
      <c r="V700" s="16"/>
      <c r="X700" s="16"/>
      <c r="Z700" s="16"/>
      <c r="AB700" s="16"/>
      <c r="AD700" s="16"/>
      <c r="AF700" s="16"/>
      <c r="AH700" s="16"/>
      <c r="AJ700" s="16"/>
      <c r="AL700" s="16"/>
      <c r="AN700" s="16"/>
      <c r="AP700" s="16"/>
      <c r="AR700" s="16"/>
      <c r="AT700" s="16"/>
      <c r="AV700" s="16"/>
    </row>
    <row r="701" spans="3:48" ht="12.75">
      <c r="C701" s="16"/>
      <c r="E701" s="16"/>
      <c r="G701" s="16"/>
      <c r="I701" s="16"/>
      <c r="K701" s="16"/>
      <c r="M701" s="16"/>
      <c r="O701" s="16"/>
      <c r="Q701" s="16"/>
      <c r="R701" s="16"/>
      <c r="T701" s="16"/>
      <c r="V701" s="16"/>
      <c r="X701" s="16"/>
      <c r="Z701" s="16"/>
      <c r="AB701" s="16"/>
      <c r="AD701" s="16"/>
      <c r="AF701" s="16"/>
      <c r="AH701" s="16"/>
      <c r="AJ701" s="16"/>
      <c r="AL701" s="16"/>
      <c r="AN701" s="16"/>
      <c r="AP701" s="16"/>
      <c r="AR701" s="16"/>
      <c r="AT701" s="16"/>
      <c r="AV701" s="16"/>
    </row>
    <row r="702" spans="3:48" ht="12.75">
      <c r="C702" s="16"/>
      <c r="E702" s="16"/>
      <c r="G702" s="16"/>
      <c r="I702" s="16"/>
      <c r="K702" s="16"/>
      <c r="M702" s="16"/>
      <c r="O702" s="16"/>
      <c r="Q702" s="16"/>
      <c r="R702" s="16"/>
      <c r="T702" s="16"/>
      <c r="V702" s="16"/>
      <c r="X702" s="16"/>
      <c r="Z702" s="16"/>
      <c r="AB702" s="16"/>
      <c r="AD702" s="16"/>
      <c r="AF702" s="16"/>
      <c r="AH702" s="16"/>
      <c r="AJ702" s="16"/>
      <c r="AL702" s="16"/>
      <c r="AN702" s="16"/>
      <c r="AP702" s="16"/>
      <c r="AR702" s="16"/>
      <c r="AT702" s="16"/>
      <c r="AV702" s="16"/>
    </row>
    <row r="703" spans="3:48" ht="12.75">
      <c r="C703" s="16"/>
      <c r="E703" s="16"/>
      <c r="G703" s="16"/>
      <c r="I703" s="16"/>
      <c r="K703" s="16"/>
      <c r="M703" s="16"/>
      <c r="O703" s="16"/>
      <c r="Q703" s="16"/>
      <c r="R703" s="16"/>
      <c r="T703" s="16"/>
      <c r="V703" s="16"/>
      <c r="X703" s="16"/>
      <c r="Z703" s="16"/>
      <c r="AB703" s="16"/>
      <c r="AD703" s="16"/>
      <c r="AF703" s="16"/>
      <c r="AH703" s="16"/>
      <c r="AJ703" s="16"/>
      <c r="AL703" s="16"/>
      <c r="AN703" s="16"/>
      <c r="AP703" s="16"/>
      <c r="AR703" s="16"/>
      <c r="AT703" s="16"/>
      <c r="AV703" s="16"/>
    </row>
    <row r="704" spans="3:48" ht="12.75">
      <c r="C704" s="16"/>
      <c r="E704" s="16"/>
      <c r="G704" s="16"/>
      <c r="I704" s="16"/>
      <c r="K704" s="16"/>
      <c r="M704" s="16"/>
      <c r="O704" s="16"/>
      <c r="Q704" s="16"/>
      <c r="R704" s="16"/>
      <c r="T704" s="16"/>
      <c r="V704" s="16"/>
      <c r="X704" s="16"/>
      <c r="Z704" s="16"/>
      <c r="AB704" s="16"/>
      <c r="AD704" s="16"/>
      <c r="AF704" s="16"/>
      <c r="AH704" s="16"/>
      <c r="AJ704" s="16"/>
      <c r="AL704" s="16"/>
      <c r="AN704" s="16"/>
      <c r="AP704" s="16"/>
      <c r="AR704" s="16"/>
      <c r="AT704" s="16"/>
      <c r="AV704" s="16"/>
    </row>
    <row r="705" spans="3:48" ht="12.75">
      <c r="C705" s="16"/>
      <c r="E705" s="16"/>
      <c r="G705" s="16"/>
      <c r="I705" s="16"/>
      <c r="K705" s="16"/>
      <c r="M705" s="16"/>
      <c r="O705" s="16"/>
      <c r="Q705" s="16"/>
      <c r="R705" s="16"/>
      <c r="T705" s="16"/>
      <c r="V705" s="16"/>
      <c r="X705" s="16"/>
      <c r="Z705" s="16"/>
      <c r="AB705" s="16"/>
      <c r="AD705" s="16"/>
      <c r="AF705" s="16"/>
      <c r="AH705" s="16"/>
      <c r="AJ705" s="16"/>
      <c r="AL705" s="16"/>
      <c r="AN705" s="16"/>
      <c r="AP705" s="16"/>
      <c r="AR705" s="16"/>
      <c r="AT705" s="16"/>
      <c r="AV705" s="16"/>
    </row>
    <row r="706" spans="3:48" ht="12.75">
      <c r="C706" s="16"/>
      <c r="E706" s="16"/>
      <c r="G706" s="16"/>
      <c r="I706" s="16"/>
      <c r="K706" s="16"/>
      <c r="M706" s="16"/>
      <c r="O706" s="16"/>
      <c r="Q706" s="16"/>
      <c r="R706" s="16"/>
      <c r="T706" s="16"/>
      <c r="V706" s="16"/>
      <c r="X706" s="16"/>
      <c r="Z706" s="16"/>
      <c r="AB706" s="16"/>
      <c r="AD706" s="16"/>
      <c r="AF706" s="16"/>
      <c r="AH706" s="16"/>
      <c r="AJ706" s="16"/>
      <c r="AL706" s="16"/>
      <c r="AN706" s="16"/>
      <c r="AP706" s="16"/>
      <c r="AR706" s="16"/>
      <c r="AT706" s="16"/>
      <c r="AV706" s="16"/>
    </row>
    <row r="707" spans="3:48" ht="12.75">
      <c r="C707" s="16"/>
      <c r="E707" s="16"/>
      <c r="G707" s="16"/>
      <c r="I707" s="16"/>
      <c r="K707" s="16"/>
      <c r="M707" s="16"/>
      <c r="O707" s="16"/>
      <c r="Q707" s="16"/>
      <c r="R707" s="16"/>
      <c r="T707" s="16"/>
      <c r="V707" s="16"/>
      <c r="X707" s="16"/>
      <c r="Z707" s="16"/>
      <c r="AB707" s="16"/>
      <c r="AD707" s="16"/>
      <c r="AF707" s="16"/>
      <c r="AH707" s="16"/>
      <c r="AJ707" s="16"/>
      <c r="AL707" s="16"/>
      <c r="AN707" s="16"/>
      <c r="AP707" s="16"/>
      <c r="AR707" s="16"/>
      <c r="AT707" s="16"/>
      <c r="AV707" s="16"/>
    </row>
    <row r="708" spans="3:48" ht="12.75">
      <c r="C708" s="16"/>
      <c r="E708" s="16"/>
      <c r="G708" s="16"/>
      <c r="I708" s="16"/>
      <c r="K708" s="16"/>
      <c r="M708" s="16"/>
      <c r="O708" s="16"/>
      <c r="Q708" s="16"/>
      <c r="R708" s="16"/>
      <c r="T708" s="16"/>
      <c r="V708" s="16"/>
      <c r="X708" s="16"/>
      <c r="Z708" s="16"/>
      <c r="AB708" s="16"/>
      <c r="AD708" s="16"/>
      <c r="AF708" s="16"/>
      <c r="AH708" s="16"/>
      <c r="AJ708" s="16"/>
      <c r="AL708" s="16"/>
      <c r="AN708" s="16"/>
      <c r="AP708" s="16"/>
      <c r="AR708" s="16"/>
      <c r="AT708" s="16"/>
      <c r="AV708" s="16"/>
    </row>
    <row r="709" spans="3:48" ht="12.75">
      <c r="C709" s="16"/>
      <c r="E709" s="16"/>
      <c r="G709" s="16"/>
      <c r="I709" s="16"/>
      <c r="K709" s="16"/>
      <c r="M709" s="16"/>
      <c r="O709" s="16"/>
      <c r="Q709" s="16"/>
      <c r="R709" s="16"/>
      <c r="T709" s="16"/>
      <c r="V709" s="16"/>
      <c r="X709" s="16"/>
      <c r="Z709" s="16"/>
      <c r="AB709" s="16"/>
      <c r="AD709" s="16"/>
      <c r="AF709" s="16"/>
      <c r="AH709" s="16"/>
      <c r="AJ709" s="16"/>
      <c r="AL709" s="16"/>
      <c r="AN709" s="16"/>
      <c r="AP709" s="16"/>
      <c r="AR709" s="16"/>
      <c r="AT709" s="16"/>
      <c r="AV709" s="16"/>
    </row>
    <row r="710" spans="3:48" ht="12.75">
      <c r="C710" s="16"/>
      <c r="E710" s="16"/>
      <c r="G710" s="16"/>
      <c r="I710" s="16"/>
      <c r="K710" s="16"/>
      <c r="M710" s="16"/>
      <c r="O710" s="16"/>
      <c r="Q710" s="16"/>
      <c r="R710" s="16"/>
      <c r="T710" s="16"/>
      <c r="V710" s="16"/>
      <c r="X710" s="16"/>
      <c r="Z710" s="16"/>
      <c r="AB710" s="16"/>
      <c r="AD710" s="16"/>
      <c r="AF710" s="16"/>
      <c r="AH710" s="16"/>
      <c r="AJ710" s="16"/>
      <c r="AL710" s="16"/>
      <c r="AN710" s="16"/>
      <c r="AP710" s="16"/>
      <c r="AR710" s="16"/>
      <c r="AT710" s="16"/>
      <c r="AV710" s="16"/>
    </row>
    <row r="711" spans="3:48" ht="12.75">
      <c r="C711" s="16"/>
      <c r="E711" s="16"/>
      <c r="G711" s="16"/>
      <c r="I711" s="16"/>
      <c r="K711" s="16"/>
      <c r="M711" s="16"/>
      <c r="O711" s="16"/>
      <c r="Q711" s="16"/>
      <c r="R711" s="16"/>
      <c r="T711" s="16"/>
      <c r="V711" s="16"/>
      <c r="X711" s="16"/>
      <c r="Z711" s="16"/>
      <c r="AB711" s="16"/>
      <c r="AD711" s="16"/>
      <c r="AF711" s="16"/>
      <c r="AH711" s="16"/>
      <c r="AJ711" s="16"/>
      <c r="AL711" s="16"/>
      <c r="AN711" s="16"/>
      <c r="AP711" s="16"/>
      <c r="AR711" s="16"/>
      <c r="AT711" s="16"/>
      <c r="AV711" s="16"/>
    </row>
    <row r="712" spans="3:48" ht="12.75">
      <c r="C712" s="16"/>
      <c r="E712" s="16"/>
      <c r="G712" s="16"/>
      <c r="I712" s="16"/>
      <c r="K712" s="16"/>
      <c r="M712" s="16"/>
      <c r="O712" s="16"/>
      <c r="Q712" s="16"/>
      <c r="R712" s="16"/>
      <c r="T712" s="16"/>
      <c r="V712" s="16"/>
      <c r="X712" s="16"/>
      <c r="Z712" s="16"/>
      <c r="AB712" s="16"/>
      <c r="AD712" s="16"/>
      <c r="AF712" s="16"/>
      <c r="AH712" s="16"/>
      <c r="AJ712" s="16"/>
      <c r="AL712" s="16"/>
      <c r="AN712" s="16"/>
      <c r="AP712" s="16"/>
      <c r="AR712" s="16"/>
      <c r="AT712" s="16"/>
      <c r="AV712" s="16"/>
    </row>
    <row r="713" spans="3:48" ht="12.75">
      <c r="C713" s="16"/>
      <c r="E713" s="16"/>
      <c r="G713" s="16"/>
      <c r="I713" s="16"/>
      <c r="K713" s="16"/>
      <c r="M713" s="16"/>
      <c r="O713" s="16"/>
      <c r="Q713" s="16"/>
      <c r="R713" s="16"/>
      <c r="T713" s="16"/>
      <c r="V713" s="16"/>
      <c r="X713" s="16"/>
      <c r="Z713" s="16"/>
      <c r="AB713" s="16"/>
      <c r="AD713" s="16"/>
      <c r="AF713" s="16"/>
      <c r="AH713" s="16"/>
      <c r="AJ713" s="16"/>
      <c r="AL713" s="16"/>
      <c r="AN713" s="16"/>
      <c r="AP713" s="16"/>
      <c r="AR713" s="16"/>
      <c r="AT713" s="16"/>
      <c r="AV713" s="16"/>
    </row>
    <row r="714" spans="3:48" ht="12.75">
      <c r="C714" s="16"/>
      <c r="E714" s="16"/>
      <c r="G714" s="16"/>
      <c r="I714" s="16"/>
      <c r="K714" s="16"/>
      <c r="M714" s="16"/>
      <c r="O714" s="16"/>
      <c r="Q714" s="16"/>
      <c r="R714" s="16"/>
      <c r="T714" s="16"/>
      <c r="V714" s="16"/>
      <c r="X714" s="16"/>
      <c r="Z714" s="16"/>
      <c r="AB714" s="16"/>
      <c r="AD714" s="16"/>
      <c r="AF714" s="16"/>
      <c r="AH714" s="16"/>
      <c r="AJ714" s="16"/>
      <c r="AL714" s="16"/>
      <c r="AN714" s="16"/>
      <c r="AP714" s="16"/>
      <c r="AR714" s="16"/>
      <c r="AT714" s="16"/>
      <c r="AV714" s="16"/>
    </row>
    <row r="715" spans="3:48" ht="12.75">
      <c r="C715" s="16"/>
      <c r="E715" s="16"/>
      <c r="G715" s="16"/>
      <c r="I715" s="16"/>
      <c r="K715" s="16"/>
      <c r="M715" s="16"/>
      <c r="O715" s="16"/>
      <c r="Q715" s="16"/>
      <c r="R715" s="16"/>
      <c r="T715" s="16"/>
      <c r="V715" s="16"/>
      <c r="X715" s="16"/>
      <c r="Z715" s="16"/>
      <c r="AB715" s="16"/>
      <c r="AD715" s="16"/>
      <c r="AF715" s="16"/>
      <c r="AH715" s="16"/>
      <c r="AJ715" s="16"/>
      <c r="AL715" s="16"/>
      <c r="AN715" s="16"/>
      <c r="AP715" s="16"/>
      <c r="AR715" s="16"/>
      <c r="AT715" s="16"/>
      <c r="AV715" s="16"/>
    </row>
    <row r="716" spans="3:48" ht="12.75">
      <c r="C716" s="16"/>
      <c r="E716" s="16"/>
      <c r="G716" s="16"/>
      <c r="I716" s="16"/>
      <c r="K716" s="16"/>
      <c r="M716" s="16"/>
      <c r="O716" s="16"/>
      <c r="Q716" s="16"/>
      <c r="R716" s="16"/>
      <c r="T716" s="16"/>
      <c r="V716" s="16"/>
      <c r="X716" s="16"/>
      <c r="Z716" s="16"/>
      <c r="AB716" s="16"/>
      <c r="AD716" s="16"/>
      <c r="AF716" s="16"/>
      <c r="AH716" s="16"/>
      <c r="AJ716" s="16"/>
      <c r="AL716" s="16"/>
      <c r="AN716" s="16"/>
      <c r="AP716" s="16"/>
      <c r="AR716" s="16"/>
      <c r="AT716" s="16"/>
      <c r="AV716" s="16"/>
    </row>
    <row r="717" spans="3:48" ht="12.75">
      <c r="C717" s="16"/>
      <c r="E717" s="16"/>
      <c r="G717" s="16"/>
      <c r="I717" s="16"/>
      <c r="K717" s="16"/>
      <c r="M717" s="16"/>
      <c r="O717" s="16"/>
      <c r="Q717" s="16"/>
      <c r="R717" s="16"/>
      <c r="T717" s="16"/>
      <c r="V717" s="16"/>
      <c r="X717" s="16"/>
      <c r="Z717" s="16"/>
      <c r="AB717" s="16"/>
      <c r="AD717" s="16"/>
      <c r="AF717" s="16"/>
      <c r="AH717" s="16"/>
      <c r="AJ717" s="16"/>
      <c r="AL717" s="16"/>
      <c r="AN717" s="16"/>
      <c r="AP717" s="16"/>
      <c r="AR717" s="16"/>
      <c r="AT717" s="16"/>
      <c r="AV717" s="16"/>
    </row>
    <row r="718" spans="3:48" ht="12.75">
      <c r="C718" s="16"/>
      <c r="E718" s="16"/>
      <c r="G718" s="16"/>
      <c r="I718" s="16"/>
      <c r="K718" s="16"/>
      <c r="M718" s="16"/>
      <c r="O718" s="16"/>
      <c r="Q718" s="16"/>
      <c r="R718" s="16"/>
      <c r="T718" s="16"/>
      <c r="V718" s="16"/>
      <c r="X718" s="16"/>
      <c r="Z718" s="16"/>
      <c r="AB718" s="16"/>
      <c r="AD718" s="16"/>
      <c r="AF718" s="16"/>
      <c r="AH718" s="16"/>
      <c r="AJ718" s="16"/>
      <c r="AL718" s="16"/>
      <c r="AN718" s="16"/>
      <c r="AP718" s="16"/>
      <c r="AR718" s="16"/>
      <c r="AT718" s="16"/>
      <c r="AV718" s="16"/>
    </row>
    <row r="719" spans="3:48" ht="12.75">
      <c r="C719" s="16"/>
      <c r="E719" s="16"/>
      <c r="G719" s="16"/>
      <c r="I719" s="16"/>
      <c r="K719" s="16"/>
      <c r="M719" s="16"/>
      <c r="O719" s="16"/>
      <c r="Q719" s="16"/>
      <c r="R719" s="16"/>
      <c r="T719" s="16"/>
      <c r="V719" s="16"/>
      <c r="X719" s="16"/>
      <c r="Z719" s="16"/>
      <c r="AB719" s="16"/>
      <c r="AD719" s="16"/>
      <c r="AF719" s="16"/>
      <c r="AH719" s="16"/>
      <c r="AJ719" s="16"/>
      <c r="AL719" s="16"/>
      <c r="AN719" s="16"/>
      <c r="AP719" s="16"/>
      <c r="AR719" s="16"/>
      <c r="AT719" s="16"/>
      <c r="AV719" s="16"/>
    </row>
    <row r="720" spans="3:48" ht="12.75">
      <c r="C720" s="16"/>
      <c r="E720" s="16"/>
      <c r="G720" s="16"/>
      <c r="I720" s="16"/>
      <c r="K720" s="16"/>
      <c r="M720" s="16"/>
      <c r="O720" s="16"/>
      <c r="Q720" s="16"/>
      <c r="R720" s="16"/>
      <c r="T720" s="16"/>
      <c r="V720" s="16"/>
      <c r="X720" s="16"/>
      <c r="Z720" s="16"/>
      <c r="AB720" s="16"/>
      <c r="AD720" s="16"/>
      <c r="AF720" s="16"/>
      <c r="AH720" s="16"/>
      <c r="AJ720" s="16"/>
      <c r="AL720" s="16"/>
      <c r="AN720" s="16"/>
      <c r="AP720" s="16"/>
      <c r="AR720" s="16"/>
      <c r="AT720" s="16"/>
      <c r="AV720" s="16"/>
    </row>
    <row r="721" spans="3:48" ht="12.75">
      <c r="C721" s="16"/>
      <c r="E721" s="16"/>
      <c r="G721" s="16"/>
      <c r="I721" s="16"/>
      <c r="K721" s="16"/>
      <c r="M721" s="16"/>
      <c r="O721" s="16"/>
      <c r="Q721" s="16"/>
      <c r="R721" s="16"/>
      <c r="T721" s="16"/>
      <c r="V721" s="16"/>
      <c r="X721" s="16"/>
      <c r="Z721" s="16"/>
      <c r="AB721" s="16"/>
      <c r="AD721" s="16"/>
      <c r="AF721" s="16"/>
      <c r="AH721" s="16"/>
      <c r="AJ721" s="16"/>
      <c r="AL721" s="16"/>
      <c r="AN721" s="16"/>
      <c r="AP721" s="16"/>
      <c r="AR721" s="16"/>
      <c r="AT721" s="16"/>
      <c r="AV721" s="16"/>
    </row>
    <row r="722" spans="3:48" ht="12.75">
      <c r="C722" s="16"/>
      <c r="E722" s="16"/>
      <c r="G722" s="16"/>
      <c r="I722" s="16"/>
      <c r="K722" s="16"/>
      <c r="M722" s="16"/>
      <c r="O722" s="16"/>
      <c r="Q722" s="16"/>
      <c r="R722" s="16"/>
      <c r="T722" s="16"/>
      <c r="V722" s="16"/>
      <c r="X722" s="16"/>
      <c r="Z722" s="16"/>
      <c r="AB722" s="16"/>
      <c r="AD722" s="16"/>
      <c r="AF722" s="16"/>
      <c r="AH722" s="16"/>
      <c r="AJ722" s="16"/>
      <c r="AL722" s="16"/>
      <c r="AN722" s="16"/>
      <c r="AP722" s="16"/>
      <c r="AR722" s="16"/>
      <c r="AT722" s="16"/>
      <c r="AV722" s="16"/>
    </row>
    <row r="723" spans="3:48" ht="12.75">
      <c r="C723" s="16"/>
      <c r="E723" s="16"/>
      <c r="G723" s="16"/>
      <c r="I723" s="16"/>
      <c r="K723" s="16"/>
      <c r="M723" s="16"/>
      <c r="O723" s="16"/>
      <c r="Q723" s="16"/>
      <c r="R723" s="16"/>
      <c r="T723" s="16"/>
      <c r="V723" s="16"/>
      <c r="X723" s="16"/>
      <c r="Z723" s="16"/>
      <c r="AB723" s="16"/>
      <c r="AD723" s="16"/>
      <c r="AF723" s="16"/>
      <c r="AH723" s="16"/>
      <c r="AJ723" s="16"/>
      <c r="AL723" s="16"/>
      <c r="AN723" s="16"/>
      <c r="AP723" s="16"/>
      <c r="AR723" s="16"/>
      <c r="AT723" s="16"/>
      <c r="AV723" s="16"/>
    </row>
    <row r="724" spans="3:48" ht="12.75">
      <c r="C724" s="16"/>
      <c r="E724" s="16"/>
      <c r="G724" s="16"/>
      <c r="I724" s="16"/>
      <c r="K724" s="16"/>
      <c r="M724" s="16"/>
      <c r="O724" s="16"/>
      <c r="Q724" s="16"/>
      <c r="R724" s="16"/>
      <c r="T724" s="16"/>
      <c r="V724" s="16"/>
      <c r="X724" s="16"/>
      <c r="Z724" s="16"/>
      <c r="AB724" s="16"/>
      <c r="AD724" s="16"/>
      <c r="AF724" s="16"/>
      <c r="AH724" s="16"/>
      <c r="AJ724" s="16"/>
      <c r="AL724" s="16"/>
      <c r="AN724" s="16"/>
      <c r="AP724" s="16"/>
      <c r="AR724" s="16"/>
      <c r="AT724" s="16"/>
      <c r="AV724" s="16"/>
    </row>
    <row r="725" spans="3:48" ht="12.75">
      <c r="C725" s="16"/>
      <c r="E725" s="16"/>
      <c r="G725" s="16"/>
      <c r="I725" s="16"/>
      <c r="K725" s="16"/>
      <c r="M725" s="16"/>
      <c r="O725" s="16"/>
      <c r="Q725" s="16"/>
      <c r="R725" s="16"/>
      <c r="T725" s="16"/>
      <c r="V725" s="16"/>
      <c r="X725" s="16"/>
      <c r="Z725" s="16"/>
      <c r="AB725" s="16"/>
      <c r="AD725" s="16"/>
      <c r="AF725" s="16"/>
      <c r="AH725" s="16"/>
      <c r="AJ725" s="16"/>
      <c r="AL725" s="16"/>
      <c r="AN725" s="16"/>
      <c r="AP725" s="16"/>
      <c r="AR725" s="16"/>
      <c r="AT725" s="16"/>
      <c r="AV725" s="16"/>
    </row>
    <row r="726" spans="3:48" ht="12.75">
      <c r="C726" s="16"/>
      <c r="E726" s="16"/>
      <c r="G726" s="16"/>
      <c r="I726" s="16"/>
      <c r="K726" s="16"/>
      <c r="M726" s="16"/>
      <c r="O726" s="16"/>
      <c r="Q726" s="16"/>
      <c r="R726" s="16"/>
      <c r="T726" s="16"/>
      <c r="V726" s="16"/>
      <c r="X726" s="16"/>
      <c r="Z726" s="16"/>
      <c r="AB726" s="16"/>
      <c r="AD726" s="16"/>
      <c r="AF726" s="16"/>
      <c r="AH726" s="16"/>
      <c r="AJ726" s="16"/>
      <c r="AL726" s="16"/>
      <c r="AN726" s="16"/>
      <c r="AP726" s="16"/>
      <c r="AR726" s="16"/>
      <c r="AT726" s="16"/>
      <c r="AV726" s="16"/>
    </row>
    <row r="727" spans="3:48" ht="12.75">
      <c r="C727" s="16"/>
      <c r="E727" s="16"/>
      <c r="G727" s="16"/>
      <c r="I727" s="16"/>
      <c r="K727" s="16"/>
      <c r="M727" s="16"/>
      <c r="O727" s="16"/>
      <c r="Q727" s="16"/>
      <c r="R727" s="16"/>
      <c r="T727" s="16"/>
      <c r="V727" s="16"/>
      <c r="X727" s="16"/>
      <c r="Z727" s="16"/>
      <c r="AB727" s="16"/>
      <c r="AD727" s="16"/>
      <c r="AF727" s="16"/>
      <c r="AH727" s="16"/>
      <c r="AJ727" s="16"/>
      <c r="AL727" s="16"/>
      <c r="AN727" s="16"/>
      <c r="AP727" s="16"/>
      <c r="AR727" s="16"/>
      <c r="AT727" s="16"/>
      <c r="AV727" s="16"/>
    </row>
    <row r="728" spans="3:48" ht="12.75">
      <c r="C728" s="16"/>
      <c r="E728" s="16"/>
      <c r="G728" s="16"/>
      <c r="I728" s="16"/>
      <c r="K728" s="16"/>
      <c r="M728" s="16"/>
      <c r="O728" s="16"/>
      <c r="Q728" s="16"/>
      <c r="R728" s="16"/>
      <c r="T728" s="16"/>
      <c r="V728" s="16"/>
      <c r="X728" s="16"/>
      <c r="Z728" s="16"/>
      <c r="AB728" s="16"/>
      <c r="AD728" s="16"/>
      <c r="AF728" s="16"/>
      <c r="AH728" s="16"/>
      <c r="AJ728" s="16"/>
      <c r="AL728" s="16"/>
      <c r="AN728" s="16"/>
      <c r="AP728" s="16"/>
      <c r="AR728" s="16"/>
      <c r="AT728" s="16"/>
      <c r="AV728" s="16"/>
    </row>
    <row r="729" spans="3:48" ht="12.75">
      <c r="C729" s="16"/>
      <c r="E729" s="16"/>
      <c r="G729" s="16"/>
      <c r="I729" s="16"/>
      <c r="K729" s="16"/>
      <c r="M729" s="16"/>
      <c r="O729" s="16"/>
      <c r="Q729" s="16"/>
      <c r="R729" s="16"/>
      <c r="T729" s="16"/>
      <c r="V729" s="16"/>
      <c r="X729" s="16"/>
      <c r="Z729" s="16"/>
      <c r="AB729" s="16"/>
      <c r="AD729" s="16"/>
      <c r="AF729" s="16"/>
      <c r="AH729" s="16"/>
      <c r="AJ729" s="16"/>
      <c r="AL729" s="16"/>
      <c r="AN729" s="16"/>
      <c r="AP729" s="16"/>
      <c r="AR729" s="16"/>
      <c r="AT729" s="16"/>
      <c r="AV729" s="16"/>
    </row>
    <row r="730" spans="3:48" ht="12.75">
      <c r="C730" s="16"/>
      <c r="E730" s="16"/>
      <c r="G730" s="16"/>
      <c r="I730" s="16"/>
      <c r="K730" s="16"/>
      <c r="M730" s="16"/>
      <c r="O730" s="16"/>
      <c r="Q730" s="16"/>
      <c r="R730" s="16"/>
      <c r="T730" s="16"/>
      <c r="V730" s="16"/>
      <c r="X730" s="16"/>
      <c r="Z730" s="16"/>
      <c r="AB730" s="16"/>
      <c r="AD730" s="16"/>
      <c r="AF730" s="16"/>
      <c r="AH730" s="16"/>
      <c r="AJ730" s="16"/>
      <c r="AL730" s="16"/>
      <c r="AN730" s="16"/>
      <c r="AP730" s="16"/>
      <c r="AR730" s="16"/>
      <c r="AT730" s="16"/>
      <c r="AV730" s="16"/>
    </row>
    <row r="731" spans="3:48" ht="12.75">
      <c r="C731" s="16"/>
      <c r="E731" s="16"/>
      <c r="G731" s="16"/>
      <c r="I731" s="16"/>
      <c r="K731" s="16"/>
      <c r="M731" s="16"/>
      <c r="O731" s="16"/>
      <c r="Q731" s="16"/>
      <c r="R731" s="16"/>
      <c r="T731" s="16"/>
      <c r="V731" s="16"/>
      <c r="X731" s="16"/>
      <c r="Z731" s="16"/>
      <c r="AB731" s="16"/>
      <c r="AD731" s="16"/>
      <c r="AF731" s="16"/>
      <c r="AH731" s="16"/>
      <c r="AJ731" s="16"/>
      <c r="AL731" s="16"/>
      <c r="AN731" s="16"/>
      <c r="AP731" s="16"/>
      <c r="AR731" s="16"/>
      <c r="AT731" s="16"/>
      <c r="AV731" s="16"/>
    </row>
    <row r="732" spans="3:48" ht="12.75">
      <c r="C732" s="16"/>
      <c r="E732" s="16"/>
      <c r="G732" s="16"/>
      <c r="I732" s="16"/>
      <c r="K732" s="16"/>
      <c r="M732" s="16"/>
      <c r="O732" s="16"/>
      <c r="Q732" s="16"/>
      <c r="R732" s="16"/>
      <c r="T732" s="16"/>
      <c r="V732" s="16"/>
      <c r="X732" s="16"/>
      <c r="Z732" s="16"/>
      <c r="AB732" s="16"/>
      <c r="AD732" s="16"/>
      <c r="AF732" s="16"/>
      <c r="AH732" s="16"/>
      <c r="AJ732" s="16"/>
      <c r="AL732" s="16"/>
      <c r="AN732" s="16"/>
      <c r="AP732" s="16"/>
      <c r="AR732" s="16"/>
      <c r="AT732" s="16"/>
      <c r="AV732" s="16"/>
    </row>
    <row r="733" spans="3:48" ht="12.75">
      <c r="C733" s="16"/>
      <c r="E733" s="16"/>
      <c r="G733" s="16"/>
      <c r="I733" s="16"/>
      <c r="K733" s="16"/>
      <c r="M733" s="16"/>
      <c r="O733" s="16"/>
      <c r="Q733" s="16"/>
      <c r="R733" s="16"/>
      <c r="T733" s="16"/>
      <c r="V733" s="16"/>
      <c r="X733" s="16"/>
      <c r="Z733" s="16"/>
      <c r="AB733" s="16"/>
      <c r="AD733" s="16"/>
      <c r="AF733" s="16"/>
      <c r="AH733" s="16"/>
      <c r="AJ733" s="16"/>
      <c r="AL733" s="16"/>
      <c r="AN733" s="16"/>
      <c r="AP733" s="16"/>
      <c r="AR733" s="16"/>
      <c r="AT733" s="16"/>
      <c r="AV733" s="16"/>
    </row>
    <row r="734" spans="3:48" ht="12.75">
      <c r="C734" s="16"/>
      <c r="E734" s="16"/>
      <c r="G734" s="16"/>
      <c r="I734" s="16"/>
      <c r="K734" s="16"/>
      <c r="M734" s="16"/>
      <c r="O734" s="16"/>
      <c r="Q734" s="16"/>
      <c r="R734" s="16"/>
      <c r="T734" s="16"/>
      <c r="V734" s="16"/>
      <c r="X734" s="16"/>
      <c r="Z734" s="16"/>
      <c r="AB734" s="16"/>
      <c r="AD734" s="16"/>
      <c r="AF734" s="16"/>
      <c r="AH734" s="16"/>
      <c r="AJ734" s="16"/>
      <c r="AL734" s="16"/>
      <c r="AN734" s="16"/>
      <c r="AP734" s="16"/>
      <c r="AR734" s="16"/>
      <c r="AT734" s="16"/>
      <c r="AV734" s="16"/>
    </row>
    <row r="735" spans="3:48" ht="12.75">
      <c r="C735" s="16"/>
      <c r="E735" s="16"/>
      <c r="G735" s="16"/>
      <c r="I735" s="16"/>
      <c r="K735" s="16"/>
      <c r="M735" s="16"/>
      <c r="O735" s="16"/>
      <c r="Q735" s="16"/>
      <c r="R735" s="16"/>
      <c r="T735" s="16"/>
      <c r="V735" s="16"/>
      <c r="X735" s="16"/>
      <c r="Z735" s="16"/>
      <c r="AB735" s="16"/>
      <c r="AD735" s="16"/>
      <c r="AF735" s="16"/>
      <c r="AH735" s="16"/>
      <c r="AJ735" s="16"/>
      <c r="AL735" s="16"/>
      <c r="AN735" s="16"/>
      <c r="AP735" s="16"/>
      <c r="AR735" s="16"/>
      <c r="AT735" s="16"/>
      <c r="AV735" s="16"/>
    </row>
    <row r="736" spans="3:48" ht="12.75">
      <c r="C736" s="16"/>
      <c r="E736" s="16"/>
      <c r="G736" s="16"/>
      <c r="I736" s="16"/>
      <c r="K736" s="16"/>
      <c r="M736" s="16"/>
      <c r="O736" s="16"/>
      <c r="Q736" s="16"/>
      <c r="R736" s="16"/>
      <c r="T736" s="16"/>
      <c r="V736" s="16"/>
      <c r="X736" s="16"/>
      <c r="Z736" s="16"/>
      <c r="AB736" s="16"/>
      <c r="AD736" s="16"/>
      <c r="AF736" s="16"/>
      <c r="AH736" s="16"/>
      <c r="AJ736" s="16"/>
      <c r="AL736" s="16"/>
      <c r="AN736" s="16"/>
      <c r="AP736" s="16"/>
      <c r="AR736" s="16"/>
      <c r="AT736" s="16"/>
      <c r="AV736" s="16"/>
    </row>
    <row r="737" spans="3:48" ht="12.75">
      <c r="C737" s="16"/>
      <c r="E737" s="16"/>
      <c r="G737" s="16"/>
      <c r="I737" s="16"/>
      <c r="K737" s="16"/>
      <c r="M737" s="16"/>
      <c r="O737" s="16"/>
      <c r="Q737" s="16"/>
      <c r="R737" s="16"/>
      <c r="T737" s="16"/>
      <c r="V737" s="16"/>
      <c r="X737" s="16"/>
      <c r="Z737" s="16"/>
      <c r="AB737" s="16"/>
      <c r="AD737" s="16"/>
      <c r="AF737" s="16"/>
      <c r="AH737" s="16"/>
      <c r="AJ737" s="16"/>
      <c r="AL737" s="16"/>
      <c r="AN737" s="16"/>
      <c r="AP737" s="16"/>
      <c r="AR737" s="16"/>
      <c r="AT737" s="16"/>
      <c r="AV737" s="16"/>
    </row>
    <row r="738" spans="3:48" ht="12.75">
      <c r="C738" s="16"/>
      <c r="E738" s="16"/>
      <c r="G738" s="16"/>
      <c r="I738" s="16"/>
      <c r="K738" s="16"/>
      <c r="M738" s="16"/>
      <c r="O738" s="16"/>
      <c r="Q738" s="16"/>
      <c r="R738" s="16"/>
      <c r="T738" s="16"/>
      <c r="V738" s="16"/>
      <c r="X738" s="16"/>
      <c r="Z738" s="16"/>
      <c r="AB738" s="16"/>
      <c r="AD738" s="16"/>
      <c r="AF738" s="16"/>
      <c r="AH738" s="16"/>
      <c r="AJ738" s="16"/>
      <c r="AL738" s="16"/>
      <c r="AN738" s="16"/>
      <c r="AP738" s="16"/>
      <c r="AR738" s="16"/>
      <c r="AT738" s="16"/>
      <c r="AV738" s="16"/>
    </row>
    <row r="739" spans="3:48" ht="12.75">
      <c r="C739" s="16"/>
      <c r="E739" s="16"/>
      <c r="G739" s="16"/>
      <c r="I739" s="16"/>
      <c r="K739" s="16"/>
      <c r="M739" s="16"/>
      <c r="O739" s="16"/>
      <c r="Q739" s="16"/>
      <c r="R739" s="16"/>
      <c r="T739" s="16"/>
      <c r="V739" s="16"/>
      <c r="X739" s="16"/>
      <c r="Z739" s="16"/>
      <c r="AB739" s="16"/>
      <c r="AD739" s="16"/>
      <c r="AF739" s="16"/>
      <c r="AH739" s="16"/>
      <c r="AJ739" s="16"/>
      <c r="AL739" s="16"/>
      <c r="AN739" s="16"/>
      <c r="AP739" s="16"/>
      <c r="AR739" s="16"/>
      <c r="AT739" s="16"/>
      <c r="AV739" s="16"/>
    </row>
    <row r="740" spans="3:48" ht="12.75">
      <c r="C740" s="16"/>
      <c r="E740" s="16"/>
      <c r="G740" s="16"/>
      <c r="I740" s="16"/>
      <c r="K740" s="16"/>
      <c r="M740" s="16"/>
      <c r="O740" s="16"/>
      <c r="Q740" s="16"/>
      <c r="R740" s="16"/>
      <c r="T740" s="16"/>
      <c r="V740" s="16"/>
      <c r="X740" s="16"/>
      <c r="Z740" s="16"/>
      <c r="AB740" s="16"/>
      <c r="AD740" s="16"/>
      <c r="AF740" s="16"/>
      <c r="AH740" s="16"/>
      <c r="AJ740" s="16"/>
      <c r="AL740" s="16"/>
      <c r="AN740" s="16"/>
      <c r="AP740" s="16"/>
      <c r="AR740" s="16"/>
      <c r="AT740" s="16"/>
      <c r="AV740" s="16"/>
    </row>
    <row r="741" spans="3:48" ht="12.75">
      <c r="C741" s="16"/>
      <c r="E741" s="16"/>
      <c r="G741" s="16"/>
      <c r="I741" s="16"/>
      <c r="K741" s="16"/>
      <c r="M741" s="16"/>
      <c r="O741" s="16"/>
      <c r="Q741" s="16"/>
      <c r="R741" s="16"/>
      <c r="T741" s="16"/>
      <c r="V741" s="16"/>
      <c r="X741" s="16"/>
      <c r="Z741" s="16"/>
      <c r="AB741" s="16"/>
      <c r="AD741" s="16"/>
      <c r="AF741" s="16"/>
      <c r="AH741" s="16"/>
      <c r="AJ741" s="16"/>
      <c r="AL741" s="16"/>
      <c r="AN741" s="16"/>
      <c r="AP741" s="16"/>
      <c r="AR741" s="16"/>
      <c r="AT741" s="16"/>
      <c r="AV741" s="16"/>
    </row>
    <row r="742" spans="3:48" ht="12.75">
      <c r="C742" s="16"/>
      <c r="E742" s="16"/>
      <c r="G742" s="16"/>
      <c r="I742" s="16"/>
      <c r="K742" s="16"/>
      <c r="M742" s="16"/>
      <c r="O742" s="16"/>
      <c r="Q742" s="16"/>
      <c r="R742" s="16"/>
      <c r="T742" s="16"/>
      <c r="V742" s="16"/>
      <c r="X742" s="16"/>
      <c r="Z742" s="16"/>
      <c r="AB742" s="16"/>
      <c r="AD742" s="16"/>
      <c r="AF742" s="16"/>
      <c r="AH742" s="16"/>
      <c r="AJ742" s="16"/>
      <c r="AL742" s="16"/>
      <c r="AN742" s="16"/>
      <c r="AP742" s="16"/>
      <c r="AR742" s="16"/>
      <c r="AT742" s="16"/>
      <c r="AV742" s="16"/>
    </row>
    <row r="743" spans="3:48" ht="12.75">
      <c r="C743" s="16"/>
      <c r="E743" s="16"/>
      <c r="G743" s="16"/>
      <c r="I743" s="16"/>
      <c r="K743" s="16"/>
      <c r="M743" s="16"/>
      <c r="O743" s="16"/>
      <c r="Q743" s="16"/>
      <c r="R743" s="16"/>
      <c r="T743" s="16"/>
      <c r="V743" s="16"/>
      <c r="X743" s="16"/>
      <c r="Z743" s="16"/>
      <c r="AB743" s="16"/>
      <c r="AD743" s="16"/>
      <c r="AF743" s="16"/>
      <c r="AH743" s="16"/>
      <c r="AJ743" s="16"/>
      <c r="AL743" s="16"/>
      <c r="AN743" s="16"/>
      <c r="AP743" s="16"/>
      <c r="AR743" s="16"/>
      <c r="AT743" s="16"/>
      <c r="AV743" s="16"/>
    </row>
    <row r="744" spans="3:48" ht="12.75">
      <c r="C744" s="16"/>
      <c r="E744" s="16"/>
      <c r="G744" s="16"/>
      <c r="I744" s="16"/>
      <c r="K744" s="16"/>
      <c r="M744" s="16"/>
      <c r="O744" s="16"/>
      <c r="Q744" s="16"/>
      <c r="R744" s="16"/>
      <c r="T744" s="16"/>
      <c r="V744" s="16"/>
      <c r="X744" s="16"/>
      <c r="Z744" s="16"/>
      <c r="AB744" s="16"/>
      <c r="AD744" s="16"/>
      <c r="AF744" s="16"/>
      <c r="AH744" s="16"/>
      <c r="AJ744" s="16"/>
      <c r="AL744" s="16"/>
      <c r="AN744" s="16"/>
      <c r="AP744" s="16"/>
      <c r="AR744" s="16"/>
      <c r="AT744" s="16"/>
      <c r="AV744" s="16"/>
    </row>
    <row r="745" spans="3:48" ht="12.75">
      <c r="C745" s="16"/>
      <c r="E745" s="16"/>
      <c r="G745" s="16"/>
      <c r="I745" s="16"/>
      <c r="K745" s="16"/>
      <c r="M745" s="16"/>
      <c r="O745" s="16"/>
      <c r="Q745" s="16"/>
      <c r="R745" s="16"/>
      <c r="T745" s="16"/>
      <c r="V745" s="16"/>
      <c r="X745" s="16"/>
      <c r="Z745" s="16"/>
      <c r="AB745" s="16"/>
      <c r="AD745" s="16"/>
      <c r="AF745" s="16"/>
      <c r="AH745" s="16"/>
      <c r="AJ745" s="16"/>
      <c r="AL745" s="16"/>
      <c r="AN745" s="16"/>
      <c r="AP745" s="16"/>
      <c r="AR745" s="16"/>
      <c r="AT745" s="16"/>
      <c r="AV745" s="16"/>
    </row>
    <row r="746" spans="3:48" ht="12.75">
      <c r="C746" s="16"/>
      <c r="E746" s="16"/>
      <c r="G746" s="16"/>
      <c r="I746" s="16"/>
      <c r="K746" s="16"/>
      <c r="M746" s="16"/>
      <c r="O746" s="16"/>
      <c r="Q746" s="16"/>
      <c r="R746" s="16"/>
      <c r="T746" s="16"/>
      <c r="V746" s="16"/>
      <c r="X746" s="16"/>
      <c r="Z746" s="16"/>
      <c r="AB746" s="16"/>
      <c r="AD746" s="16"/>
      <c r="AF746" s="16"/>
      <c r="AH746" s="16"/>
      <c r="AJ746" s="16"/>
      <c r="AL746" s="16"/>
      <c r="AN746" s="16"/>
      <c r="AP746" s="16"/>
      <c r="AR746" s="16"/>
      <c r="AT746" s="16"/>
      <c r="AV746" s="16"/>
    </row>
    <row r="747" spans="3:48" ht="12.75">
      <c r="C747" s="16"/>
      <c r="E747" s="16"/>
      <c r="G747" s="16"/>
      <c r="I747" s="16"/>
      <c r="K747" s="16"/>
      <c r="M747" s="16"/>
      <c r="O747" s="16"/>
      <c r="Q747" s="16"/>
      <c r="R747" s="16"/>
      <c r="T747" s="16"/>
      <c r="V747" s="16"/>
      <c r="X747" s="16"/>
      <c r="Z747" s="16"/>
      <c r="AB747" s="16"/>
      <c r="AD747" s="16"/>
      <c r="AF747" s="16"/>
      <c r="AH747" s="16"/>
      <c r="AJ747" s="16"/>
      <c r="AL747" s="16"/>
      <c r="AN747" s="16"/>
      <c r="AP747" s="16"/>
      <c r="AR747" s="16"/>
      <c r="AT747" s="16"/>
      <c r="AV747" s="16"/>
    </row>
    <row r="748" spans="3:48" ht="12.75">
      <c r="C748" s="16"/>
      <c r="E748" s="16"/>
      <c r="G748" s="16"/>
      <c r="I748" s="16"/>
      <c r="K748" s="16"/>
      <c r="M748" s="16"/>
      <c r="O748" s="16"/>
      <c r="Q748" s="16"/>
      <c r="R748" s="16"/>
      <c r="T748" s="16"/>
      <c r="V748" s="16"/>
      <c r="X748" s="16"/>
      <c r="Z748" s="16"/>
      <c r="AB748" s="16"/>
      <c r="AD748" s="16"/>
      <c r="AF748" s="16"/>
      <c r="AH748" s="16"/>
      <c r="AJ748" s="16"/>
      <c r="AL748" s="16"/>
      <c r="AN748" s="16"/>
      <c r="AP748" s="16"/>
      <c r="AR748" s="16"/>
      <c r="AT748" s="16"/>
      <c r="AV748" s="16"/>
    </row>
    <row r="749" spans="3:48" ht="12.75">
      <c r="C749" s="16"/>
      <c r="E749" s="16"/>
      <c r="G749" s="16"/>
      <c r="I749" s="16"/>
      <c r="K749" s="16"/>
      <c r="M749" s="16"/>
      <c r="O749" s="16"/>
      <c r="Q749" s="16"/>
      <c r="R749" s="16"/>
      <c r="T749" s="16"/>
      <c r="V749" s="16"/>
      <c r="X749" s="16"/>
      <c r="Z749" s="16"/>
      <c r="AB749" s="16"/>
      <c r="AD749" s="16"/>
      <c r="AF749" s="16"/>
      <c r="AH749" s="16"/>
      <c r="AJ749" s="16"/>
      <c r="AL749" s="16"/>
      <c r="AN749" s="16"/>
      <c r="AP749" s="16"/>
      <c r="AR749" s="16"/>
      <c r="AT749" s="16"/>
      <c r="AV749" s="16"/>
    </row>
    <row r="750" spans="3:48" ht="12.75">
      <c r="C750" s="16"/>
      <c r="E750" s="16"/>
      <c r="G750" s="16"/>
      <c r="I750" s="16"/>
      <c r="K750" s="16"/>
      <c r="M750" s="16"/>
      <c r="O750" s="16"/>
      <c r="Q750" s="16"/>
      <c r="R750" s="16"/>
      <c r="T750" s="16"/>
      <c r="V750" s="16"/>
      <c r="X750" s="16"/>
      <c r="Z750" s="16"/>
      <c r="AB750" s="16"/>
      <c r="AD750" s="16"/>
      <c r="AF750" s="16"/>
      <c r="AH750" s="16"/>
      <c r="AJ750" s="16"/>
      <c r="AL750" s="16"/>
      <c r="AN750" s="16"/>
      <c r="AP750" s="16"/>
      <c r="AR750" s="16"/>
      <c r="AT750" s="16"/>
      <c r="AV750" s="16"/>
    </row>
    <row r="751" spans="3:48" ht="12.75">
      <c r="C751" s="16"/>
      <c r="E751" s="16"/>
      <c r="G751" s="16"/>
      <c r="I751" s="16"/>
      <c r="K751" s="16"/>
      <c r="M751" s="16"/>
      <c r="O751" s="16"/>
      <c r="Q751" s="16"/>
      <c r="R751" s="16"/>
      <c r="T751" s="16"/>
      <c r="V751" s="16"/>
      <c r="X751" s="16"/>
      <c r="Z751" s="16"/>
      <c r="AB751" s="16"/>
      <c r="AD751" s="16"/>
      <c r="AF751" s="16"/>
      <c r="AH751" s="16"/>
      <c r="AJ751" s="16"/>
      <c r="AL751" s="16"/>
      <c r="AN751" s="16"/>
      <c r="AP751" s="16"/>
      <c r="AR751" s="16"/>
      <c r="AT751" s="16"/>
      <c r="AV751" s="16"/>
    </row>
    <row r="752" spans="3:48" ht="12.75">
      <c r="C752" s="16"/>
      <c r="E752" s="16"/>
      <c r="G752" s="16"/>
      <c r="I752" s="16"/>
      <c r="K752" s="16"/>
      <c r="M752" s="16"/>
      <c r="O752" s="16"/>
      <c r="Q752" s="16"/>
      <c r="R752" s="16"/>
      <c r="T752" s="16"/>
      <c r="V752" s="16"/>
      <c r="X752" s="16"/>
      <c r="Z752" s="16"/>
      <c r="AB752" s="16"/>
      <c r="AD752" s="16"/>
      <c r="AF752" s="16"/>
      <c r="AH752" s="16"/>
      <c r="AJ752" s="16"/>
      <c r="AL752" s="16"/>
      <c r="AN752" s="16"/>
      <c r="AP752" s="16"/>
      <c r="AR752" s="16"/>
      <c r="AT752" s="16"/>
      <c r="AV752" s="16"/>
    </row>
    <row r="753" spans="3:48" ht="12.75">
      <c r="C753" s="16"/>
      <c r="E753" s="16"/>
      <c r="G753" s="16"/>
      <c r="I753" s="16"/>
      <c r="K753" s="16"/>
      <c r="M753" s="16"/>
      <c r="O753" s="16"/>
      <c r="Q753" s="16"/>
      <c r="R753" s="16"/>
      <c r="T753" s="16"/>
      <c r="V753" s="16"/>
      <c r="X753" s="16"/>
      <c r="Z753" s="16"/>
      <c r="AB753" s="16"/>
      <c r="AD753" s="16"/>
      <c r="AF753" s="16"/>
      <c r="AH753" s="16"/>
      <c r="AJ753" s="16"/>
      <c r="AL753" s="16"/>
      <c r="AN753" s="16"/>
      <c r="AP753" s="16"/>
      <c r="AR753" s="16"/>
      <c r="AT753" s="16"/>
      <c r="AV753" s="16"/>
    </row>
    <row r="754" spans="3:48" ht="12.75">
      <c r="C754" s="16"/>
      <c r="E754" s="16"/>
      <c r="G754" s="16"/>
      <c r="I754" s="16"/>
      <c r="K754" s="16"/>
      <c r="M754" s="16"/>
      <c r="O754" s="16"/>
      <c r="Q754" s="16"/>
      <c r="R754" s="16"/>
      <c r="T754" s="16"/>
      <c r="V754" s="16"/>
      <c r="X754" s="16"/>
      <c r="Z754" s="16"/>
      <c r="AB754" s="16"/>
      <c r="AD754" s="16"/>
      <c r="AF754" s="16"/>
      <c r="AH754" s="16"/>
      <c r="AJ754" s="16"/>
      <c r="AL754" s="16"/>
      <c r="AN754" s="16"/>
      <c r="AP754" s="16"/>
      <c r="AR754" s="16"/>
      <c r="AT754" s="16"/>
      <c r="AV754" s="16"/>
    </row>
    <row r="755" spans="3:48" ht="12.75">
      <c r="C755" s="16"/>
      <c r="E755" s="16"/>
      <c r="G755" s="16"/>
      <c r="I755" s="16"/>
      <c r="K755" s="16"/>
      <c r="M755" s="16"/>
      <c r="O755" s="16"/>
      <c r="Q755" s="16"/>
      <c r="R755" s="16"/>
      <c r="T755" s="16"/>
      <c r="V755" s="16"/>
      <c r="X755" s="16"/>
      <c r="Z755" s="16"/>
      <c r="AB755" s="16"/>
      <c r="AD755" s="16"/>
      <c r="AF755" s="16"/>
      <c r="AH755" s="16"/>
      <c r="AJ755" s="16"/>
      <c r="AL755" s="16"/>
      <c r="AN755" s="16"/>
      <c r="AP755" s="16"/>
      <c r="AR755" s="16"/>
      <c r="AT755" s="16"/>
      <c r="AV755" s="16"/>
    </row>
    <row r="756" spans="3:48" ht="12.75">
      <c r="C756" s="16"/>
      <c r="E756" s="16"/>
      <c r="G756" s="16"/>
      <c r="I756" s="16"/>
      <c r="K756" s="16"/>
      <c r="M756" s="16"/>
      <c r="O756" s="16"/>
      <c r="Q756" s="16"/>
      <c r="R756" s="16"/>
      <c r="T756" s="16"/>
      <c r="V756" s="16"/>
      <c r="X756" s="16"/>
      <c r="Z756" s="16"/>
      <c r="AB756" s="16"/>
      <c r="AD756" s="16"/>
      <c r="AF756" s="16"/>
      <c r="AH756" s="16"/>
      <c r="AJ756" s="16"/>
      <c r="AL756" s="16"/>
      <c r="AN756" s="16"/>
      <c r="AP756" s="16"/>
      <c r="AR756" s="16"/>
      <c r="AT756" s="16"/>
      <c r="AV756" s="16"/>
    </row>
    <row r="757" spans="3:48" ht="12.75">
      <c r="C757" s="16"/>
      <c r="E757" s="16"/>
      <c r="G757" s="16"/>
      <c r="I757" s="16"/>
      <c r="K757" s="16"/>
      <c r="M757" s="16"/>
      <c r="O757" s="16"/>
      <c r="Q757" s="16"/>
      <c r="R757" s="16"/>
      <c r="T757" s="16"/>
      <c r="V757" s="16"/>
      <c r="X757" s="16"/>
      <c r="Z757" s="16"/>
      <c r="AB757" s="16"/>
      <c r="AD757" s="16"/>
      <c r="AF757" s="16"/>
      <c r="AH757" s="16"/>
      <c r="AJ757" s="16"/>
      <c r="AL757" s="16"/>
      <c r="AN757" s="16"/>
      <c r="AP757" s="16"/>
      <c r="AR757" s="16"/>
      <c r="AT757" s="16"/>
      <c r="AV757" s="16"/>
    </row>
    <row r="758" spans="3:48" ht="12.75">
      <c r="C758" s="16"/>
      <c r="E758" s="16"/>
      <c r="G758" s="16"/>
      <c r="I758" s="16"/>
      <c r="K758" s="16"/>
      <c r="M758" s="16"/>
      <c r="O758" s="16"/>
      <c r="Q758" s="16"/>
      <c r="R758" s="16"/>
      <c r="T758" s="16"/>
      <c r="V758" s="16"/>
      <c r="X758" s="16"/>
      <c r="Z758" s="16"/>
      <c r="AB758" s="16"/>
      <c r="AD758" s="16"/>
      <c r="AF758" s="16"/>
      <c r="AH758" s="16"/>
      <c r="AJ758" s="16"/>
      <c r="AL758" s="16"/>
      <c r="AN758" s="16"/>
      <c r="AP758" s="16"/>
      <c r="AR758" s="16"/>
      <c r="AT758" s="16"/>
      <c r="AV758" s="16"/>
    </row>
    <row r="759" spans="3:48" ht="12.75">
      <c r="C759" s="16"/>
      <c r="E759" s="16"/>
      <c r="G759" s="16"/>
      <c r="I759" s="16"/>
      <c r="K759" s="16"/>
      <c r="M759" s="16"/>
      <c r="O759" s="16"/>
      <c r="Q759" s="16"/>
      <c r="R759" s="16"/>
      <c r="T759" s="16"/>
      <c r="V759" s="16"/>
      <c r="X759" s="16"/>
      <c r="Z759" s="16"/>
      <c r="AB759" s="16"/>
      <c r="AD759" s="16"/>
      <c r="AF759" s="16"/>
      <c r="AH759" s="16"/>
      <c r="AJ759" s="16"/>
      <c r="AL759" s="16"/>
      <c r="AN759" s="16"/>
      <c r="AP759" s="16"/>
      <c r="AR759" s="16"/>
      <c r="AT759" s="16"/>
      <c r="AV759" s="16"/>
    </row>
    <row r="760" spans="3:48" ht="12.75">
      <c r="C760" s="16"/>
      <c r="E760" s="16"/>
      <c r="G760" s="16"/>
      <c r="I760" s="16"/>
      <c r="K760" s="16"/>
      <c r="M760" s="16"/>
      <c r="O760" s="16"/>
      <c r="Q760" s="16"/>
      <c r="R760" s="16"/>
      <c r="T760" s="16"/>
      <c r="V760" s="16"/>
      <c r="X760" s="16"/>
      <c r="Z760" s="16"/>
      <c r="AB760" s="16"/>
      <c r="AD760" s="16"/>
      <c r="AF760" s="16"/>
      <c r="AH760" s="16"/>
      <c r="AJ760" s="16"/>
      <c r="AL760" s="16"/>
      <c r="AN760" s="16"/>
      <c r="AP760" s="16"/>
      <c r="AR760" s="16"/>
      <c r="AT760" s="16"/>
      <c r="AV760" s="16"/>
    </row>
    <row r="761" spans="3:48" ht="12.75">
      <c r="C761" s="16"/>
      <c r="E761" s="16"/>
      <c r="G761" s="16"/>
      <c r="I761" s="16"/>
      <c r="K761" s="16"/>
      <c r="M761" s="16"/>
      <c r="O761" s="16"/>
      <c r="Q761" s="16"/>
      <c r="R761" s="16"/>
      <c r="T761" s="16"/>
      <c r="V761" s="16"/>
      <c r="X761" s="16"/>
      <c r="Z761" s="16"/>
      <c r="AB761" s="16"/>
      <c r="AD761" s="16"/>
      <c r="AF761" s="16"/>
      <c r="AH761" s="16"/>
      <c r="AJ761" s="16"/>
      <c r="AL761" s="16"/>
      <c r="AN761" s="16"/>
      <c r="AP761" s="16"/>
      <c r="AR761" s="16"/>
      <c r="AT761" s="16"/>
      <c r="AV761" s="16"/>
    </row>
    <row r="762" spans="3:48" ht="12.75">
      <c r="C762" s="16"/>
      <c r="E762" s="16"/>
      <c r="G762" s="16"/>
      <c r="I762" s="16"/>
      <c r="K762" s="16"/>
      <c r="M762" s="16"/>
      <c r="O762" s="16"/>
      <c r="Q762" s="16"/>
      <c r="R762" s="16"/>
      <c r="T762" s="16"/>
      <c r="V762" s="16"/>
      <c r="X762" s="16"/>
      <c r="Z762" s="16"/>
      <c r="AB762" s="16"/>
      <c r="AD762" s="16"/>
      <c r="AF762" s="16"/>
      <c r="AH762" s="16"/>
      <c r="AJ762" s="16"/>
      <c r="AL762" s="16"/>
      <c r="AN762" s="16"/>
      <c r="AP762" s="16"/>
      <c r="AR762" s="16"/>
      <c r="AT762" s="16"/>
      <c r="AV762" s="16"/>
    </row>
    <row r="763" spans="3:48" ht="12.75">
      <c r="C763" s="16"/>
      <c r="E763" s="16"/>
      <c r="G763" s="16"/>
      <c r="I763" s="16"/>
      <c r="K763" s="16"/>
      <c r="M763" s="16"/>
      <c r="O763" s="16"/>
      <c r="Q763" s="16"/>
      <c r="R763" s="16"/>
      <c r="T763" s="16"/>
      <c r="V763" s="16"/>
      <c r="X763" s="16"/>
      <c r="Z763" s="16"/>
      <c r="AB763" s="16"/>
      <c r="AD763" s="16"/>
      <c r="AF763" s="16"/>
      <c r="AH763" s="16"/>
      <c r="AJ763" s="16"/>
      <c r="AL763" s="16"/>
      <c r="AN763" s="16"/>
      <c r="AP763" s="16"/>
      <c r="AR763" s="16"/>
      <c r="AT763" s="16"/>
      <c r="AV763" s="16"/>
    </row>
    <row r="764" spans="3:48" ht="12.75">
      <c r="C764" s="16"/>
      <c r="E764" s="16"/>
      <c r="G764" s="16"/>
      <c r="I764" s="16"/>
      <c r="K764" s="16"/>
      <c r="M764" s="16"/>
      <c r="O764" s="16"/>
      <c r="Q764" s="16"/>
      <c r="R764" s="16"/>
      <c r="T764" s="16"/>
      <c r="V764" s="16"/>
      <c r="X764" s="16"/>
      <c r="Z764" s="16"/>
      <c r="AB764" s="16"/>
      <c r="AD764" s="16"/>
      <c r="AF764" s="16"/>
      <c r="AH764" s="16"/>
      <c r="AJ764" s="16"/>
      <c r="AL764" s="16"/>
      <c r="AN764" s="16"/>
      <c r="AP764" s="16"/>
      <c r="AR764" s="16"/>
      <c r="AT764" s="16"/>
      <c r="AV764" s="16"/>
    </row>
    <row r="765" spans="3:48" ht="12.75">
      <c r="C765" s="16"/>
      <c r="E765" s="16"/>
      <c r="G765" s="16"/>
      <c r="I765" s="16"/>
      <c r="K765" s="16"/>
      <c r="M765" s="16"/>
      <c r="O765" s="16"/>
      <c r="Q765" s="16"/>
      <c r="R765" s="16"/>
      <c r="T765" s="16"/>
      <c r="V765" s="16"/>
      <c r="X765" s="16"/>
      <c r="Z765" s="16"/>
      <c r="AB765" s="16"/>
      <c r="AD765" s="16"/>
      <c r="AF765" s="16"/>
      <c r="AH765" s="16"/>
      <c r="AJ765" s="16"/>
      <c r="AL765" s="16"/>
      <c r="AN765" s="16"/>
      <c r="AP765" s="16"/>
      <c r="AR765" s="16"/>
      <c r="AT765" s="16"/>
      <c r="AV765" s="16"/>
    </row>
    <row r="766" spans="3:48" ht="12.75">
      <c r="C766" s="16"/>
      <c r="E766" s="16"/>
      <c r="G766" s="16"/>
      <c r="I766" s="16"/>
      <c r="K766" s="16"/>
      <c r="M766" s="16"/>
      <c r="O766" s="16"/>
      <c r="Q766" s="16"/>
      <c r="R766" s="16"/>
      <c r="T766" s="16"/>
      <c r="V766" s="16"/>
      <c r="X766" s="16"/>
      <c r="Z766" s="16"/>
      <c r="AB766" s="16"/>
      <c r="AD766" s="16"/>
      <c r="AF766" s="16"/>
      <c r="AH766" s="16"/>
      <c r="AJ766" s="16"/>
      <c r="AL766" s="16"/>
      <c r="AN766" s="16"/>
      <c r="AP766" s="16"/>
      <c r="AR766" s="16"/>
      <c r="AT766" s="16"/>
      <c r="AV766" s="16"/>
    </row>
    <row r="767" spans="3:48" ht="12.75">
      <c r="C767" s="16"/>
      <c r="E767" s="16"/>
      <c r="G767" s="16"/>
      <c r="I767" s="16"/>
      <c r="K767" s="16"/>
      <c r="M767" s="16"/>
      <c r="O767" s="16"/>
      <c r="Q767" s="16"/>
      <c r="R767" s="16"/>
      <c r="T767" s="16"/>
      <c r="V767" s="16"/>
      <c r="X767" s="16"/>
      <c r="Z767" s="16"/>
      <c r="AB767" s="16"/>
      <c r="AD767" s="16"/>
      <c r="AF767" s="16"/>
      <c r="AH767" s="16"/>
      <c r="AJ767" s="16"/>
      <c r="AL767" s="16"/>
      <c r="AN767" s="16"/>
      <c r="AP767" s="16"/>
      <c r="AR767" s="16"/>
      <c r="AT767" s="16"/>
      <c r="AV767" s="16"/>
    </row>
    <row r="768" spans="3:48" ht="12.75">
      <c r="C768" s="16"/>
      <c r="E768" s="16"/>
      <c r="G768" s="16"/>
      <c r="I768" s="16"/>
      <c r="K768" s="16"/>
      <c r="M768" s="16"/>
      <c r="O768" s="16"/>
      <c r="Q768" s="16"/>
      <c r="R768" s="16"/>
      <c r="T768" s="16"/>
      <c r="V768" s="16"/>
      <c r="X768" s="16"/>
      <c r="Z768" s="16"/>
      <c r="AB768" s="16"/>
      <c r="AD768" s="16"/>
      <c r="AF768" s="16"/>
      <c r="AH768" s="16"/>
      <c r="AJ768" s="16"/>
      <c r="AL768" s="16"/>
      <c r="AN768" s="16"/>
      <c r="AP768" s="16"/>
      <c r="AR768" s="16"/>
      <c r="AT768" s="16"/>
      <c r="AV768" s="16"/>
    </row>
    <row r="769" spans="3:48" ht="12.75">
      <c r="C769" s="16"/>
      <c r="E769" s="16"/>
      <c r="G769" s="16"/>
      <c r="I769" s="16"/>
      <c r="K769" s="16"/>
      <c r="M769" s="16"/>
      <c r="O769" s="16"/>
      <c r="Q769" s="16"/>
      <c r="R769" s="16"/>
      <c r="T769" s="16"/>
      <c r="V769" s="16"/>
      <c r="X769" s="16"/>
      <c r="Z769" s="16"/>
      <c r="AB769" s="16"/>
      <c r="AD769" s="16"/>
      <c r="AF769" s="16"/>
      <c r="AH769" s="16"/>
      <c r="AJ769" s="16"/>
      <c r="AL769" s="16"/>
      <c r="AN769" s="16"/>
      <c r="AP769" s="16"/>
      <c r="AR769" s="16"/>
      <c r="AT769" s="16"/>
      <c r="AV769" s="16"/>
    </row>
    <row r="770" spans="3:48" ht="12.75">
      <c r="C770" s="16"/>
      <c r="E770" s="16"/>
      <c r="G770" s="16"/>
      <c r="I770" s="16"/>
      <c r="K770" s="16"/>
      <c r="M770" s="16"/>
      <c r="O770" s="16"/>
      <c r="Q770" s="16"/>
      <c r="R770" s="16"/>
      <c r="T770" s="16"/>
      <c r="V770" s="16"/>
      <c r="X770" s="16"/>
      <c r="Z770" s="16"/>
      <c r="AB770" s="16"/>
      <c r="AD770" s="16"/>
      <c r="AF770" s="16"/>
      <c r="AH770" s="16"/>
      <c r="AJ770" s="16"/>
      <c r="AL770" s="16"/>
      <c r="AN770" s="16"/>
      <c r="AP770" s="16"/>
      <c r="AR770" s="16"/>
      <c r="AT770" s="16"/>
      <c r="AV770" s="16"/>
    </row>
    <row r="771" spans="3:48" ht="12.75">
      <c r="C771" s="16"/>
      <c r="E771" s="16"/>
      <c r="G771" s="16"/>
      <c r="I771" s="16"/>
      <c r="K771" s="16"/>
      <c r="M771" s="16"/>
      <c r="O771" s="16"/>
      <c r="Q771" s="16"/>
      <c r="R771" s="16"/>
      <c r="T771" s="16"/>
      <c r="V771" s="16"/>
      <c r="X771" s="16"/>
      <c r="Z771" s="16"/>
      <c r="AB771" s="16"/>
      <c r="AD771" s="16"/>
      <c r="AF771" s="16"/>
      <c r="AH771" s="16"/>
      <c r="AJ771" s="16"/>
      <c r="AL771" s="16"/>
      <c r="AN771" s="16"/>
      <c r="AP771" s="16"/>
      <c r="AR771" s="16"/>
      <c r="AT771" s="16"/>
      <c r="AV771" s="16"/>
    </row>
    <row r="772" spans="3:48" ht="12.75">
      <c r="C772" s="16"/>
      <c r="E772" s="16"/>
      <c r="G772" s="16"/>
      <c r="I772" s="16"/>
      <c r="K772" s="16"/>
      <c r="M772" s="16"/>
      <c r="O772" s="16"/>
      <c r="Q772" s="16"/>
      <c r="R772" s="16"/>
      <c r="T772" s="16"/>
      <c r="V772" s="16"/>
      <c r="X772" s="16"/>
      <c r="Z772" s="16"/>
      <c r="AB772" s="16"/>
      <c r="AD772" s="16"/>
      <c r="AF772" s="16"/>
      <c r="AH772" s="16"/>
      <c r="AJ772" s="16"/>
      <c r="AL772" s="16"/>
      <c r="AN772" s="16"/>
      <c r="AP772" s="16"/>
      <c r="AR772" s="16"/>
      <c r="AT772" s="16"/>
      <c r="AV772" s="16"/>
    </row>
    <row r="773" spans="3:48" ht="12.75">
      <c r="C773" s="16"/>
      <c r="E773" s="16"/>
      <c r="G773" s="16"/>
      <c r="I773" s="16"/>
      <c r="K773" s="16"/>
      <c r="M773" s="16"/>
      <c r="O773" s="16"/>
      <c r="Q773" s="16"/>
      <c r="R773" s="16"/>
      <c r="T773" s="16"/>
      <c r="V773" s="16"/>
      <c r="X773" s="16"/>
      <c r="Z773" s="16"/>
      <c r="AB773" s="16"/>
      <c r="AD773" s="16"/>
      <c r="AF773" s="16"/>
      <c r="AH773" s="16"/>
      <c r="AJ773" s="16"/>
      <c r="AL773" s="16"/>
      <c r="AN773" s="16"/>
      <c r="AP773" s="16"/>
      <c r="AR773" s="16"/>
      <c r="AT773" s="16"/>
      <c r="AV773" s="16"/>
    </row>
    <row r="774" spans="3:48" ht="12.75">
      <c r="C774" s="16"/>
      <c r="E774" s="16"/>
      <c r="G774" s="16"/>
      <c r="I774" s="16"/>
      <c r="K774" s="16"/>
      <c r="M774" s="16"/>
      <c r="O774" s="16"/>
      <c r="Q774" s="16"/>
      <c r="R774" s="16"/>
      <c r="T774" s="16"/>
      <c r="V774" s="16"/>
      <c r="X774" s="16"/>
      <c r="Z774" s="16"/>
      <c r="AB774" s="16"/>
      <c r="AD774" s="16"/>
      <c r="AF774" s="16"/>
      <c r="AH774" s="16"/>
      <c r="AJ774" s="16"/>
      <c r="AL774" s="16"/>
      <c r="AN774" s="16"/>
      <c r="AP774" s="16"/>
      <c r="AR774" s="16"/>
      <c r="AT774" s="16"/>
      <c r="AV774" s="16"/>
    </row>
    <row r="775" spans="3:48" ht="12.75">
      <c r="C775" s="16"/>
      <c r="E775" s="16"/>
      <c r="G775" s="16"/>
      <c r="I775" s="16"/>
      <c r="K775" s="16"/>
      <c r="M775" s="16"/>
      <c r="O775" s="16"/>
      <c r="Q775" s="16"/>
      <c r="R775" s="16"/>
      <c r="T775" s="16"/>
      <c r="V775" s="16"/>
      <c r="X775" s="16"/>
      <c r="Z775" s="16"/>
      <c r="AB775" s="16"/>
      <c r="AD775" s="16"/>
      <c r="AF775" s="16"/>
      <c r="AH775" s="16"/>
      <c r="AJ775" s="16"/>
      <c r="AL775" s="16"/>
      <c r="AN775" s="16"/>
      <c r="AP775" s="16"/>
      <c r="AR775" s="16"/>
      <c r="AT775" s="16"/>
      <c r="AV775" s="16"/>
    </row>
    <row r="776" spans="3:48" ht="12.75">
      <c r="C776" s="16"/>
      <c r="E776" s="16"/>
      <c r="G776" s="16"/>
      <c r="I776" s="16"/>
      <c r="K776" s="16"/>
      <c r="M776" s="16"/>
      <c r="O776" s="16"/>
      <c r="Q776" s="16"/>
      <c r="R776" s="16"/>
      <c r="T776" s="16"/>
      <c r="V776" s="16"/>
      <c r="X776" s="16"/>
      <c r="Z776" s="16"/>
      <c r="AB776" s="16"/>
      <c r="AD776" s="16"/>
      <c r="AF776" s="16"/>
      <c r="AH776" s="16"/>
      <c r="AJ776" s="16"/>
      <c r="AL776" s="16"/>
      <c r="AN776" s="16"/>
      <c r="AP776" s="16"/>
      <c r="AR776" s="16"/>
      <c r="AT776" s="16"/>
      <c r="AV776" s="16"/>
    </row>
    <row r="777" spans="3:48" ht="12.75">
      <c r="C777" s="16"/>
      <c r="E777" s="16"/>
      <c r="G777" s="16"/>
      <c r="I777" s="16"/>
      <c r="K777" s="16"/>
      <c r="M777" s="16"/>
      <c r="O777" s="16"/>
      <c r="Q777" s="16"/>
      <c r="R777" s="16"/>
      <c r="T777" s="16"/>
      <c r="V777" s="16"/>
      <c r="X777" s="16"/>
      <c r="Z777" s="16"/>
      <c r="AB777" s="16"/>
      <c r="AD777" s="16"/>
      <c r="AF777" s="16"/>
      <c r="AH777" s="16"/>
      <c r="AJ777" s="16"/>
      <c r="AL777" s="16"/>
      <c r="AN777" s="16"/>
      <c r="AP777" s="16"/>
      <c r="AR777" s="16"/>
      <c r="AT777" s="16"/>
      <c r="AV777" s="16"/>
    </row>
    <row r="778" spans="3:48" ht="12.75">
      <c r="C778" s="16"/>
      <c r="E778" s="16"/>
      <c r="G778" s="16"/>
      <c r="I778" s="16"/>
      <c r="K778" s="16"/>
      <c r="M778" s="16"/>
      <c r="O778" s="16"/>
      <c r="Q778" s="16"/>
      <c r="R778" s="16"/>
      <c r="T778" s="16"/>
      <c r="V778" s="16"/>
      <c r="X778" s="16"/>
      <c r="Z778" s="16"/>
      <c r="AB778" s="16"/>
      <c r="AD778" s="16"/>
      <c r="AF778" s="16"/>
      <c r="AH778" s="16"/>
      <c r="AJ778" s="16"/>
      <c r="AL778" s="16"/>
      <c r="AN778" s="16"/>
      <c r="AP778" s="16"/>
      <c r="AR778" s="16"/>
      <c r="AT778" s="16"/>
      <c r="AV778" s="16"/>
    </row>
    <row r="779" spans="3:48" ht="12.75">
      <c r="C779" s="16"/>
      <c r="E779" s="16"/>
      <c r="G779" s="16"/>
      <c r="I779" s="16"/>
      <c r="K779" s="16"/>
      <c r="M779" s="16"/>
      <c r="O779" s="16"/>
      <c r="Q779" s="16"/>
      <c r="R779" s="16"/>
      <c r="T779" s="16"/>
      <c r="V779" s="16"/>
      <c r="X779" s="16"/>
      <c r="Z779" s="16"/>
      <c r="AB779" s="16"/>
      <c r="AD779" s="16"/>
      <c r="AF779" s="16"/>
      <c r="AH779" s="16"/>
      <c r="AJ779" s="16"/>
      <c r="AL779" s="16"/>
      <c r="AN779" s="16"/>
      <c r="AP779" s="16"/>
      <c r="AR779" s="16"/>
      <c r="AT779" s="16"/>
      <c r="AV779" s="16"/>
    </row>
    <row r="780" spans="3:48" ht="12.75">
      <c r="C780" s="16"/>
      <c r="E780" s="16"/>
      <c r="G780" s="16"/>
      <c r="I780" s="16"/>
      <c r="K780" s="16"/>
      <c r="M780" s="16"/>
      <c r="O780" s="16"/>
      <c r="Q780" s="16"/>
      <c r="R780" s="16"/>
      <c r="T780" s="16"/>
      <c r="V780" s="16"/>
      <c r="X780" s="16"/>
      <c r="Z780" s="16"/>
      <c r="AB780" s="16"/>
      <c r="AD780" s="16"/>
      <c r="AF780" s="16"/>
      <c r="AH780" s="16"/>
      <c r="AJ780" s="16"/>
      <c r="AL780" s="16"/>
      <c r="AN780" s="16"/>
      <c r="AP780" s="16"/>
      <c r="AR780" s="16"/>
      <c r="AT780" s="16"/>
      <c r="AV780" s="16"/>
    </row>
    <row r="781" spans="3:48" ht="12.75">
      <c r="C781" s="16"/>
      <c r="E781" s="16"/>
      <c r="G781" s="16"/>
      <c r="I781" s="16"/>
      <c r="K781" s="16"/>
      <c r="M781" s="16"/>
      <c r="O781" s="16"/>
      <c r="Q781" s="16"/>
      <c r="R781" s="16"/>
      <c r="T781" s="16"/>
      <c r="V781" s="16"/>
      <c r="X781" s="16"/>
      <c r="Z781" s="16"/>
      <c r="AB781" s="16"/>
      <c r="AD781" s="16"/>
      <c r="AF781" s="16"/>
      <c r="AH781" s="16"/>
      <c r="AJ781" s="16"/>
      <c r="AL781" s="16"/>
      <c r="AN781" s="16"/>
      <c r="AP781" s="16"/>
      <c r="AR781" s="16"/>
      <c r="AT781" s="16"/>
      <c r="AV781" s="16"/>
    </row>
    <row r="782" spans="3:48" ht="12.75">
      <c r="C782" s="16"/>
      <c r="E782" s="16"/>
      <c r="G782" s="16"/>
      <c r="I782" s="16"/>
      <c r="K782" s="16"/>
      <c r="M782" s="16"/>
      <c r="O782" s="16"/>
      <c r="Q782" s="16"/>
      <c r="R782" s="16"/>
      <c r="T782" s="16"/>
      <c r="V782" s="16"/>
      <c r="X782" s="16"/>
      <c r="Z782" s="16"/>
      <c r="AB782" s="16"/>
      <c r="AD782" s="16"/>
      <c r="AF782" s="16"/>
      <c r="AH782" s="16"/>
      <c r="AJ782" s="16"/>
      <c r="AL782" s="16"/>
      <c r="AN782" s="16"/>
      <c r="AP782" s="16"/>
      <c r="AR782" s="16"/>
      <c r="AT782" s="16"/>
      <c r="AV782" s="16"/>
    </row>
    <row r="783" spans="3:48" ht="12.75">
      <c r="C783" s="16"/>
      <c r="E783" s="16"/>
      <c r="G783" s="16"/>
      <c r="I783" s="16"/>
      <c r="K783" s="16"/>
      <c r="M783" s="16"/>
      <c r="O783" s="16"/>
      <c r="Q783" s="16"/>
      <c r="R783" s="16"/>
      <c r="T783" s="16"/>
      <c r="V783" s="16"/>
      <c r="X783" s="16"/>
      <c r="Z783" s="16"/>
      <c r="AB783" s="16"/>
      <c r="AD783" s="16"/>
      <c r="AF783" s="16"/>
      <c r="AH783" s="16"/>
      <c r="AJ783" s="16"/>
      <c r="AL783" s="16"/>
      <c r="AN783" s="16"/>
      <c r="AP783" s="16"/>
      <c r="AR783" s="16"/>
      <c r="AT783" s="16"/>
      <c r="AV783" s="16"/>
    </row>
    <row r="784" spans="3:48" ht="12.75">
      <c r="C784" s="16"/>
      <c r="E784" s="16"/>
      <c r="G784" s="16"/>
      <c r="I784" s="16"/>
      <c r="K784" s="16"/>
      <c r="M784" s="16"/>
      <c r="O784" s="16"/>
      <c r="Q784" s="16"/>
      <c r="R784" s="16"/>
      <c r="T784" s="16"/>
      <c r="V784" s="16"/>
      <c r="X784" s="16"/>
      <c r="Z784" s="16"/>
      <c r="AB784" s="16"/>
      <c r="AD784" s="16"/>
      <c r="AF784" s="16"/>
      <c r="AH784" s="16"/>
      <c r="AJ784" s="16"/>
      <c r="AL784" s="16"/>
      <c r="AN784" s="16"/>
      <c r="AP784" s="16"/>
      <c r="AR784" s="16"/>
      <c r="AT784" s="16"/>
      <c r="AV784" s="16"/>
    </row>
    <row r="785" spans="3:48" ht="12.75">
      <c r="C785" s="16"/>
      <c r="E785" s="16"/>
      <c r="G785" s="16"/>
      <c r="I785" s="16"/>
      <c r="K785" s="16"/>
      <c r="M785" s="16"/>
      <c r="O785" s="16"/>
      <c r="Q785" s="16"/>
      <c r="R785" s="16"/>
      <c r="T785" s="16"/>
      <c r="V785" s="16"/>
      <c r="X785" s="16"/>
      <c r="Z785" s="16"/>
      <c r="AB785" s="16"/>
      <c r="AD785" s="16"/>
      <c r="AF785" s="16"/>
      <c r="AH785" s="16"/>
      <c r="AJ785" s="16"/>
      <c r="AL785" s="16"/>
      <c r="AN785" s="16"/>
      <c r="AP785" s="16"/>
      <c r="AR785" s="16"/>
      <c r="AT785" s="16"/>
      <c r="AV785" s="16"/>
    </row>
    <row r="786" spans="3:48" ht="12.75">
      <c r="C786" s="16"/>
      <c r="E786" s="16"/>
      <c r="G786" s="16"/>
      <c r="I786" s="16"/>
      <c r="K786" s="16"/>
      <c r="M786" s="16"/>
      <c r="O786" s="16"/>
      <c r="Q786" s="16"/>
      <c r="R786" s="16"/>
      <c r="T786" s="16"/>
      <c r="V786" s="16"/>
      <c r="X786" s="16"/>
      <c r="Z786" s="16"/>
      <c r="AB786" s="16"/>
      <c r="AD786" s="16"/>
      <c r="AF786" s="16"/>
      <c r="AH786" s="16"/>
      <c r="AJ786" s="16"/>
      <c r="AL786" s="16"/>
      <c r="AN786" s="16"/>
      <c r="AP786" s="16"/>
      <c r="AR786" s="16"/>
      <c r="AT786" s="16"/>
      <c r="AV786" s="16"/>
    </row>
    <row r="787" spans="3:48" ht="12.75">
      <c r="C787" s="16"/>
      <c r="E787" s="16"/>
      <c r="G787" s="16"/>
      <c r="I787" s="16"/>
      <c r="K787" s="16"/>
      <c r="M787" s="16"/>
      <c r="O787" s="16"/>
      <c r="Q787" s="16"/>
      <c r="R787" s="16"/>
      <c r="T787" s="16"/>
      <c r="V787" s="16"/>
      <c r="X787" s="16"/>
      <c r="Z787" s="16"/>
      <c r="AB787" s="16"/>
      <c r="AD787" s="16"/>
      <c r="AF787" s="16"/>
      <c r="AH787" s="16"/>
      <c r="AJ787" s="16"/>
      <c r="AL787" s="16"/>
      <c r="AN787" s="16"/>
      <c r="AP787" s="16"/>
      <c r="AR787" s="16"/>
      <c r="AT787" s="16"/>
      <c r="AV787" s="16"/>
    </row>
    <row r="788" spans="3:48" ht="12.75">
      <c r="C788" s="16"/>
      <c r="E788" s="16"/>
      <c r="G788" s="16"/>
      <c r="I788" s="16"/>
      <c r="K788" s="16"/>
      <c r="M788" s="16"/>
      <c r="O788" s="16"/>
      <c r="Q788" s="16"/>
      <c r="R788" s="16"/>
      <c r="T788" s="16"/>
      <c r="V788" s="16"/>
      <c r="X788" s="16"/>
      <c r="Z788" s="16"/>
      <c r="AB788" s="16"/>
      <c r="AD788" s="16"/>
      <c r="AF788" s="16"/>
      <c r="AH788" s="16"/>
      <c r="AJ788" s="16"/>
      <c r="AL788" s="16"/>
      <c r="AN788" s="16"/>
      <c r="AP788" s="16"/>
      <c r="AR788" s="16"/>
      <c r="AT788" s="16"/>
      <c r="AV788" s="16"/>
    </row>
    <row r="789" spans="3:48" ht="12.75">
      <c r="C789" s="16"/>
      <c r="E789" s="16"/>
      <c r="G789" s="16"/>
      <c r="I789" s="16"/>
      <c r="K789" s="16"/>
      <c r="M789" s="16"/>
      <c r="O789" s="16"/>
      <c r="Q789" s="16"/>
      <c r="R789" s="16"/>
      <c r="T789" s="16"/>
      <c r="V789" s="16"/>
      <c r="X789" s="16"/>
      <c r="Z789" s="16"/>
      <c r="AB789" s="16"/>
      <c r="AD789" s="16"/>
      <c r="AF789" s="16"/>
      <c r="AH789" s="16"/>
      <c r="AJ789" s="16"/>
      <c r="AL789" s="16"/>
      <c r="AN789" s="16"/>
      <c r="AP789" s="16"/>
      <c r="AR789" s="16"/>
      <c r="AT789" s="16"/>
      <c r="AV789" s="16"/>
    </row>
    <row r="790" spans="3:48" ht="12.75">
      <c r="C790" s="16"/>
      <c r="E790" s="16"/>
      <c r="G790" s="16"/>
      <c r="I790" s="16"/>
      <c r="K790" s="16"/>
      <c r="M790" s="16"/>
      <c r="O790" s="16"/>
      <c r="Q790" s="16"/>
      <c r="R790" s="16"/>
      <c r="T790" s="16"/>
      <c r="V790" s="16"/>
      <c r="X790" s="16"/>
      <c r="Z790" s="16"/>
      <c r="AB790" s="16"/>
      <c r="AD790" s="16"/>
      <c r="AF790" s="16"/>
      <c r="AH790" s="16"/>
      <c r="AJ790" s="16"/>
      <c r="AL790" s="16"/>
      <c r="AN790" s="16"/>
      <c r="AP790" s="16"/>
      <c r="AR790" s="16"/>
      <c r="AT790" s="16"/>
      <c r="AV790" s="16"/>
    </row>
    <row r="791" spans="3:48" ht="12.75">
      <c r="C791" s="16"/>
      <c r="E791" s="16"/>
      <c r="G791" s="16"/>
      <c r="I791" s="16"/>
      <c r="K791" s="16"/>
      <c r="M791" s="16"/>
      <c r="O791" s="16"/>
      <c r="Q791" s="16"/>
      <c r="R791" s="16"/>
      <c r="T791" s="16"/>
      <c r="V791" s="16"/>
      <c r="X791" s="16"/>
      <c r="Z791" s="16"/>
      <c r="AB791" s="16"/>
      <c r="AD791" s="16"/>
      <c r="AF791" s="16"/>
      <c r="AH791" s="16"/>
      <c r="AJ791" s="16"/>
      <c r="AL791" s="16"/>
      <c r="AN791" s="16"/>
      <c r="AP791" s="16"/>
      <c r="AR791" s="16"/>
      <c r="AT791" s="16"/>
      <c r="AV791" s="16"/>
    </row>
    <row r="792" spans="3:48" ht="12.75">
      <c r="C792" s="16"/>
      <c r="E792" s="16"/>
      <c r="G792" s="16"/>
      <c r="I792" s="16"/>
      <c r="K792" s="16"/>
      <c r="M792" s="16"/>
      <c r="O792" s="16"/>
      <c r="Q792" s="16"/>
      <c r="R792" s="16"/>
      <c r="T792" s="16"/>
      <c r="V792" s="16"/>
      <c r="X792" s="16"/>
      <c r="Z792" s="16"/>
      <c r="AB792" s="16"/>
      <c r="AD792" s="16"/>
      <c r="AF792" s="16"/>
      <c r="AH792" s="16"/>
      <c r="AJ792" s="16"/>
      <c r="AL792" s="16"/>
      <c r="AN792" s="16"/>
      <c r="AP792" s="16"/>
      <c r="AR792" s="16"/>
      <c r="AT792" s="16"/>
      <c r="AV792" s="16"/>
    </row>
    <row r="793" spans="3:48" ht="12.75">
      <c r="C793" s="16"/>
      <c r="E793" s="16"/>
      <c r="G793" s="16"/>
      <c r="I793" s="16"/>
      <c r="K793" s="16"/>
      <c r="M793" s="16"/>
      <c r="O793" s="16"/>
      <c r="Q793" s="16"/>
      <c r="R793" s="16"/>
      <c r="T793" s="16"/>
      <c r="V793" s="16"/>
      <c r="X793" s="16"/>
      <c r="Z793" s="16"/>
      <c r="AB793" s="16"/>
      <c r="AD793" s="16"/>
      <c r="AF793" s="16"/>
      <c r="AH793" s="16"/>
      <c r="AJ793" s="16"/>
      <c r="AL793" s="16"/>
      <c r="AN793" s="16"/>
      <c r="AP793" s="16"/>
      <c r="AR793" s="16"/>
      <c r="AT793" s="16"/>
      <c r="AV793" s="16"/>
    </row>
    <row r="794" spans="3:48" ht="12.75">
      <c r="C794" s="16"/>
      <c r="E794" s="16"/>
      <c r="G794" s="16"/>
      <c r="I794" s="16"/>
      <c r="K794" s="16"/>
      <c r="M794" s="16"/>
      <c r="O794" s="16"/>
      <c r="Q794" s="16"/>
      <c r="R794" s="16"/>
      <c r="T794" s="16"/>
      <c r="V794" s="16"/>
      <c r="X794" s="16"/>
      <c r="Z794" s="16"/>
      <c r="AB794" s="16"/>
      <c r="AD794" s="16"/>
      <c r="AF794" s="16"/>
      <c r="AH794" s="16"/>
      <c r="AJ794" s="16"/>
      <c r="AL794" s="16"/>
      <c r="AN794" s="16"/>
      <c r="AP794" s="16"/>
      <c r="AR794" s="16"/>
      <c r="AT794" s="16"/>
      <c r="AV794" s="16"/>
    </row>
    <row r="795" spans="3:48" ht="12.75">
      <c r="C795" s="16"/>
      <c r="E795" s="16"/>
      <c r="G795" s="16"/>
      <c r="I795" s="16"/>
      <c r="K795" s="16"/>
      <c r="M795" s="16"/>
      <c r="O795" s="16"/>
      <c r="Q795" s="16"/>
      <c r="R795" s="16"/>
      <c r="T795" s="16"/>
      <c r="V795" s="16"/>
      <c r="X795" s="16"/>
      <c r="Z795" s="16"/>
      <c r="AB795" s="16"/>
      <c r="AD795" s="16"/>
      <c r="AF795" s="16"/>
      <c r="AH795" s="16"/>
      <c r="AJ795" s="16"/>
      <c r="AL795" s="16"/>
      <c r="AN795" s="16"/>
      <c r="AP795" s="16"/>
      <c r="AR795" s="16"/>
      <c r="AT795" s="16"/>
      <c r="AV795" s="16"/>
    </row>
    <row r="796" spans="3:48" ht="12.75">
      <c r="C796" s="16"/>
      <c r="E796" s="16"/>
      <c r="G796" s="16"/>
      <c r="I796" s="16"/>
      <c r="K796" s="16"/>
      <c r="M796" s="16"/>
      <c r="O796" s="16"/>
      <c r="Q796" s="16"/>
      <c r="R796" s="16"/>
      <c r="T796" s="16"/>
      <c r="V796" s="16"/>
      <c r="X796" s="16"/>
      <c r="Z796" s="16"/>
      <c r="AB796" s="16"/>
      <c r="AD796" s="16"/>
      <c r="AF796" s="16"/>
      <c r="AH796" s="16"/>
      <c r="AJ796" s="16"/>
      <c r="AL796" s="16"/>
      <c r="AN796" s="16"/>
      <c r="AP796" s="16"/>
      <c r="AR796" s="16"/>
      <c r="AT796" s="16"/>
      <c r="AV796" s="16"/>
    </row>
    <row r="797" spans="3:48" ht="12.75">
      <c r="C797" s="16"/>
      <c r="E797" s="16"/>
      <c r="G797" s="16"/>
      <c r="I797" s="16"/>
      <c r="K797" s="16"/>
      <c r="M797" s="16"/>
      <c r="O797" s="16"/>
      <c r="Q797" s="16"/>
      <c r="R797" s="16"/>
      <c r="T797" s="16"/>
      <c r="V797" s="16"/>
      <c r="X797" s="16"/>
      <c r="Z797" s="16"/>
      <c r="AB797" s="16"/>
      <c r="AD797" s="16"/>
      <c r="AF797" s="16"/>
      <c r="AH797" s="16"/>
      <c r="AJ797" s="16"/>
      <c r="AL797" s="16"/>
      <c r="AN797" s="16"/>
      <c r="AP797" s="16"/>
      <c r="AR797" s="16"/>
      <c r="AT797" s="16"/>
      <c r="AV797" s="16"/>
    </row>
    <row r="798" spans="3:48" ht="12.75">
      <c r="C798" s="16"/>
      <c r="E798" s="16"/>
      <c r="G798" s="16"/>
      <c r="I798" s="16"/>
      <c r="K798" s="16"/>
      <c r="M798" s="16"/>
      <c r="O798" s="16"/>
      <c r="Q798" s="16"/>
      <c r="R798" s="16"/>
      <c r="T798" s="16"/>
      <c r="V798" s="16"/>
      <c r="X798" s="16"/>
      <c r="Z798" s="16"/>
      <c r="AB798" s="16"/>
      <c r="AD798" s="16"/>
      <c r="AF798" s="16"/>
      <c r="AH798" s="16"/>
      <c r="AJ798" s="16"/>
      <c r="AL798" s="16"/>
      <c r="AN798" s="16"/>
      <c r="AP798" s="16"/>
      <c r="AR798" s="16"/>
      <c r="AT798" s="16"/>
      <c r="AV798" s="16"/>
    </row>
    <row r="799" spans="3:48" ht="12.75">
      <c r="C799" s="16"/>
      <c r="E799" s="16"/>
      <c r="G799" s="16"/>
      <c r="I799" s="16"/>
      <c r="K799" s="16"/>
      <c r="M799" s="16"/>
      <c r="O799" s="16"/>
      <c r="Q799" s="16"/>
      <c r="R799" s="16"/>
      <c r="T799" s="16"/>
      <c r="V799" s="16"/>
      <c r="X799" s="16"/>
      <c r="Z799" s="16"/>
      <c r="AB799" s="16"/>
      <c r="AD799" s="16"/>
      <c r="AF799" s="16"/>
      <c r="AH799" s="16"/>
      <c r="AJ799" s="16"/>
      <c r="AL799" s="16"/>
      <c r="AN799" s="16"/>
      <c r="AP799" s="16"/>
      <c r="AR799" s="16"/>
      <c r="AT799" s="16"/>
      <c r="AV799" s="16"/>
    </row>
    <row r="800" spans="3:48" ht="12.75">
      <c r="C800" s="16"/>
      <c r="E800" s="16"/>
      <c r="G800" s="16"/>
      <c r="I800" s="16"/>
      <c r="K800" s="16"/>
      <c r="M800" s="16"/>
      <c r="O800" s="16"/>
      <c r="Q800" s="16"/>
      <c r="R800" s="16"/>
      <c r="T800" s="16"/>
      <c r="V800" s="16"/>
      <c r="X800" s="16"/>
      <c r="Z800" s="16"/>
      <c r="AB800" s="16"/>
      <c r="AD800" s="16"/>
      <c r="AF800" s="16"/>
      <c r="AH800" s="16"/>
      <c r="AJ800" s="16"/>
      <c r="AL800" s="16"/>
      <c r="AN800" s="16"/>
      <c r="AP800" s="16"/>
      <c r="AR800" s="16"/>
      <c r="AT800" s="16"/>
      <c r="AV800" s="16"/>
    </row>
    <row r="801" spans="3:48" ht="12.75">
      <c r="C801" s="16"/>
      <c r="E801" s="16"/>
      <c r="G801" s="16"/>
      <c r="I801" s="16"/>
      <c r="K801" s="16"/>
      <c r="M801" s="16"/>
      <c r="O801" s="16"/>
      <c r="Q801" s="16"/>
      <c r="R801" s="16"/>
      <c r="T801" s="16"/>
      <c r="V801" s="16"/>
      <c r="X801" s="16"/>
      <c r="Z801" s="16"/>
      <c r="AB801" s="16"/>
      <c r="AD801" s="16"/>
      <c r="AF801" s="16"/>
      <c r="AH801" s="16"/>
      <c r="AJ801" s="16"/>
      <c r="AL801" s="16"/>
      <c r="AN801" s="16"/>
      <c r="AP801" s="16"/>
      <c r="AR801" s="16"/>
      <c r="AT801" s="16"/>
      <c r="AV801" s="16"/>
    </row>
    <row r="802" spans="3:48" ht="12.75">
      <c r="C802" s="16"/>
      <c r="E802" s="16"/>
      <c r="G802" s="16"/>
      <c r="I802" s="16"/>
      <c r="K802" s="16"/>
      <c r="M802" s="16"/>
      <c r="O802" s="16"/>
      <c r="Q802" s="16"/>
      <c r="R802" s="16"/>
      <c r="T802" s="16"/>
      <c r="V802" s="16"/>
      <c r="X802" s="16"/>
      <c r="Z802" s="16"/>
      <c r="AB802" s="16"/>
      <c r="AD802" s="16"/>
      <c r="AF802" s="16"/>
      <c r="AH802" s="16"/>
      <c r="AJ802" s="16"/>
      <c r="AL802" s="16"/>
      <c r="AN802" s="16"/>
      <c r="AP802" s="16"/>
      <c r="AR802" s="16"/>
      <c r="AT802" s="16"/>
      <c r="AV802" s="16"/>
    </row>
    <row r="803" spans="3:48" ht="12.75">
      <c r="C803" s="16"/>
      <c r="E803" s="16"/>
      <c r="G803" s="16"/>
      <c r="I803" s="16"/>
      <c r="K803" s="16"/>
      <c r="M803" s="16"/>
      <c r="O803" s="16"/>
      <c r="Q803" s="16"/>
      <c r="R803" s="16"/>
      <c r="T803" s="16"/>
      <c r="V803" s="16"/>
      <c r="X803" s="16"/>
      <c r="Z803" s="16"/>
      <c r="AB803" s="16"/>
      <c r="AD803" s="16"/>
      <c r="AF803" s="16"/>
      <c r="AH803" s="16"/>
      <c r="AJ803" s="16"/>
      <c r="AL803" s="16"/>
      <c r="AN803" s="16"/>
      <c r="AP803" s="16"/>
      <c r="AR803" s="16"/>
      <c r="AT803" s="16"/>
      <c r="AV803" s="16"/>
    </row>
    <row r="804" spans="3:48" ht="12.75">
      <c r="C804" s="16"/>
      <c r="E804" s="16"/>
      <c r="G804" s="16"/>
      <c r="I804" s="16"/>
      <c r="K804" s="16"/>
      <c r="M804" s="16"/>
      <c r="O804" s="16"/>
      <c r="Q804" s="16"/>
      <c r="R804" s="16"/>
      <c r="T804" s="16"/>
      <c r="V804" s="16"/>
      <c r="X804" s="16"/>
      <c r="Z804" s="16"/>
      <c r="AB804" s="16"/>
      <c r="AD804" s="16"/>
      <c r="AF804" s="16"/>
      <c r="AH804" s="16"/>
      <c r="AJ804" s="16"/>
      <c r="AL804" s="16"/>
      <c r="AN804" s="16"/>
      <c r="AP804" s="16"/>
      <c r="AR804" s="16"/>
      <c r="AT804" s="16"/>
      <c r="AV804" s="16"/>
    </row>
    <row r="805" spans="3:48" ht="12.75">
      <c r="C805" s="16"/>
      <c r="E805" s="16"/>
      <c r="G805" s="16"/>
      <c r="I805" s="16"/>
      <c r="K805" s="16"/>
      <c r="M805" s="16"/>
      <c r="O805" s="16"/>
      <c r="Q805" s="16"/>
      <c r="R805" s="16"/>
      <c r="T805" s="16"/>
      <c r="V805" s="16"/>
      <c r="X805" s="16"/>
      <c r="Z805" s="16"/>
      <c r="AB805" s="16"/>
      <c r="AD805" s="16"/>
      <c r="AF805" s="16"/>
      <c r="AH805" s="16"/>
      <c r="AJ805" s="16"/>
      <c r="AL805" s="16"/>
      <c r="AN805" s="16"/>
      <c r="AP805" s="16"/>
      <c r="AR805" s="16"/>
      <c r="AT805" s="16"/>
      <c r="AV805" s="16"/>
    </row>
    <row r="806" spans="3:48" ht="12.75">
      <c r="C806" s="16"/>
      <c r="E806" s="16"/>
      <c r="G806" s="16"/>
      <c r="I806" s="16"/>
      <c r="K806" s="16"/>
      <c r="M806" s="16"/>
      <c r="O806" s="16"/>
      <c r="Q806" s="16"/>
      <c r="R806" s="16"/>
      <c r="T806" s="16"/>
      <c r="V806" s="16"/>
      <c r="X806" s="16"/>
      <c r="Z806" s="16"/>
      <c r="AB806" s="16"/>
      <c r="AD806" s="16"/>
      <c r="AF806" s="16"/>
      <c r="AH806" s="16"/>
      <c r="AJ806" s="16"/>
      <c r="AL806" s="16"/>
      <c r="AN806" s="16"/>
      <c r="AP806" s="16"/>
      <c r="AR806" s="16"/>
      <c r="AT806" s="16"/>
      <c r="AV806" s="16"/>
    </row>
    <row r="807" spans="3:48" ht="12.75">
      <c r="C807" s="16"/>
      <c r="E807" s="16"/>
      <c r="G807" s="16"/>
      <c r="I807" s="16"/>
      <c r="K807" s="16"/>
      <c r="M807" s="16"/>
      <c r="O807" s="16"/>
      <c r="Q807" s="16"/>
      <c r="R807" s="16"/>
      <c r="T807" s="16"/>
      <c r="V807" s="16"/>
      <c r="X807" s="16"/>
      <c r="Z807" s="16"/>
      <c r="AB807" s="16"/>
      <c r="AD807" s="16"/>
      <c r="AF807" s="16"/>
      <c r="AH807" s="16"/>
      <c r="AJ807" s="16"/>
      <c r="AL807" s="16"/>
      <c r="AN807" s="16"/>
      <c r="AP807" s="16"/>
      <c r="AR807" s="16"/>
      <c r="AT807" s="16"/>
      <c r="AV807" s="16"/>
    </row>
    <row r="808" spans="3:48" ht="12.75">
      <c r="C808" s="16"/>
      <c r="E808" s="16"/>
      <c r="G808" s="16"/>
      <c r="I808" s="16"/>
      <c r="K808" s="16"/>
      <c r="M808" s="16"/>
      <c r="O808" s="16"/>
      <c r="Q808" s="16"/>
      <c r="R808" s="16"/>
      <c r="T808" s="16"/>
      <c r="V808" s="16"/>
      <c r="X808" s="16"/>
      <c r="Z808" s="16"/>
      <c r="AB808" s="16"/>
      <c r="AD808" s="16"/>
      <c r="AF808" s="16"/>
      <c r="AH808" s="16"/>
      <c r="AJ808" s="16"/>
      <c r="AL808" s="16"/>
      <c r="AN808" s="16"/>
      <c r="AP808" s="16"/>
      <c r="AR808" s="16"/>
      <c r="AT808" s="16"/>
      <c r="AV808" s="16"/>
    </row>
    <row r="809" spans="3:48" ht="12.75">
      <c r="C809" s="16"/>
      <c r="E809" s="16"/>
      <c r="G809" s="16"/>
      <c r="I809" s="16"/>
      <c r="K809" s="16"/>
      <c r="M809" s="16"/>
      <c r="O809" s="16"/>
      <c r="Q809" s="16"/>
      <c r="R809" s="16"/>
      <c r="T809" s="16"/>
      <c r="V809" s="16"/>
      <c r="X809" s="16"/>
      <c r="Z809" s="16"/>
      <c r="AB809" s="16"/>
      <c r="AD809" s="16"/>
      <c r="AF809" s="16"/>
      <c r="AH809" s="16"/>
      <c r="AJ809" s="16"/>
      <c r="AL809" s="16"/>
      <c r="AN809" s="16"/>
      <c r="AP809" s="16"/>
      <c r="AR809" s="16"/>
      <c r="AT809" s="16"/>
      <c r="AV809" s="16"/>
    </row>
    <row r="810" spans="3:48" ht="12.75">
      <c r="C810" s="16"/>
      <c r="E810" s="16"/>
      <c r="G810" s="16"/>
      <c r="I810" s="16"/>
      <c r="K810" s="16"/>
      <c r="M810" s="16"/>
      <c r="O810" s="16"/>
      <c r="Q810" s="16"/>
      <c r="R810" s="16"/>
      <c r="T810" s="16"/>
      <c r="V810" s="16"/>
      <c r="X810" s="16"/>
      <c r="Z810" s="16"/>
      <c r="AB810" s="16"/>
      <c r="AD810" s="16"/>
      <c r="AF810" s="16"/>
      <c r="AH810" s="16"/>
      <c r="AJ810" s="16"/>
      <c r="AL810" s="16"/>
      <c r="AN810" s="16"/>
      <c r="AP810" s="16"/>
      <c r="AR810" s="16"/>
      <c r="AT810" s="16"/>
      <c r="AV810" s="16"/>
    </row>
    <row r="811" spans="3:48" ht="12.75">
      <c r="C811" s="16"/>
      <c r="E811" s="16"/>
      <c r="G811" s="16"/>
      <c r="I811" s="16"/>
      <c r="K811" s="16"/>
      <c r="M811" s="16"/>
      <c r="O811" s="16"/>
      <c r="Q811" s="16"/>
      <c r="R811" s="16"/>
      <c r="T811" s="16"/>
      <c r="V811" s="16"/>
      <c r="X811" s="16"/>
      <c r="Z811" s="16"/>
      <c r="AB811" s="16"/>
      <c r="AD811" s="16"/>
      <c r="AF811" s="16"/>
      <c r="AH811" s="16"/>
      <c r="AJ811" s="16"/>
      <c r="AL811" s="16"/>
      <c r="AN811" s="16"/>
      <c r="AP811" s="16"/>
      <c r="AR811" s="16"/>
      <c r="AT811" s="16"/>
      <c r="AV811" s="16"/>
    </row>
    <row r="812" spans="3:48" ht="12.75">
      <c r="C812" s="16"/>
      <c r="E812" s="16"/>
      <c r="G812" s="16"/>
      <c r="I812" s="16"/>
      <c r="K812" s="16"/>
      <c r="M812" s="16"/>
      <c r="O812" s="16"/>
      <c r="Q812" s="16"/>
      <c r="R812" s="16"/>
      <c r="T812" s="16"/>
      <c r="V812" s="16"/>
      <c r="X812" s="16"/>
      <c r="Z812" s="16"/>
      <c r="AB812" s="16"/>
      <c r="AD812" s="16"/>
      <c r="AF812" s="16"/>
      <c r="AH812" s="16"/>
      <c r="AJ812" s="16"/>
      <c r="AL812" s="16"/>
      <c r="AN812" s="16"/>
      <c r="AP812" s="16"/>
      <c r="AR812" s="16"/>
      <c r="AT812" s="16"/>
      <c r="AV812" s="16"/>
    </row>
    <row r="813" spans="3:48" ht="12.75">
      <c r="C813" s="16"/>
      <c r="E813" s="16"/>
      <c r="G813" s="16"/>
      <c r="I813" s="16"/>
      <c r="K813" s="16"/>
      <c r="M813" s="16"/>
      <c r="O813" s="16"/>
      <c r="Q813" s="16"/>
      <c r="R813" s="16"/>
      <c r="T813" s="16"/>
      <c r="V813" s="16"/>
      <c r="X813" s="16"/>
      <c r="Z813" s="16"/>
      <c r="AB813" s="16"/>
      <c r="AD813" s="16"/>
      <c r="AF813" s="16"/>
      <c r="AH813" s="16"/>
      <c r="AJ813" s="16"/>
      <c r="AL813" s="16"/>
      <c r="AN813" s="16"/>
      <c r="AP813" s="16"/>
      <c r="AR813" s="16"/>
      <c r="AT813" s="16"/>
      <c r="AV813" s="16"/>
    </row>
    <row r="814" spans="3:48" ht="12.75">
      <c r="C814" s="16"/>
      <c r="E814" s="16"/>
      <c r="G814" s="16"/>
      <c r="I814" s="16"/>
      <c r="K814" s="16"/>
      <c r="M814" s="16"/>
      <c r="O814" s="16"/>
      <c r="Q814" s="16"/>
      <c r="R814" s="16"/>
      <c r="T814" s="16"/>
      <c r="V814" s="16"/>
      <c r="X814" s="16"/>
      <c r="Z814" s="16"/>
      <c r="AB814" s="16"/>
      <c r="AD814" s="16"/>
      <c r="AF814" s="16"/>
      <c r="AH814" s="16"/>
      <c r="AJ814" s="16"/>
      <c r="AL814" s="16"/>
      <c r="AN814" s="16"/>
      <c r="AP814" s="16"/>
      <c r="AR814" s="16"/>
      <c r="AT814" s="16"/>
      <c r="AV814" s="16"/>
    </row>
    <row r="815" spans="3:48" ht="12.75">
      <c r="C815" s="16"/>
      <c r="E815" s="16"/>
      <c r="G815" s="16"/>
      <c r="I815" s="16"/>
      <c r="K815" s="16"/>
      <c r="M815" s="16"/>
      <c r="O815" s="16"/>
      <c r="Q815" s="16"/>
      <c r="R815" s="16"/>
      <c r="T815" s="16"/>
      <c r="V815" s="16"/>
      <c r="X815" s="16"/>
      <c r="Z815" s="16"/>
      <c r="AB815" s="16"/>
      <c r="AD815" s="16"/>
      <c r="AF815" s="16"/>
      <c r="AH815" s="16"/>
      <c r="AJ815" s="16"/>
      <c r="AL815" s="16"/>
      <c r="AN815" s="16"/>
      <c r="AP815" s="16"/>
      <c r="AR815" s="16"/>
      <c r="AT815" s="16"/>
      <c r="AV815" s="16"/>
    </row>
    <row r="816" spans="3:48" ht="12.75">
      <c r="C816" s="16"/>
      <c r="E816" s="16"/>
      <c r="G816" s="16"/>
      <c r="I816" s="16"/>
      <c r="K816" s="16"/>
      <c r="M816" s="16"/>
      <c r="O816" s="16"/>
      <c r="Q816" s="16"/>
      <c r="R816" s="16"/>
      <c r="T816" s="16"/>
      <c r="V816" s="16"/>
      <c r="X816" s="16"/>
      <c r="Z816" s="16"/>
      <c r="AB816" s="16"/>
      <c r="AD816" s="16"/>
      <c r="AF816" s="16"/>
      <c r="AH816" s="16"/>
      <c r="AJ816" s="16"/>
      <c r="AL816" s="16"/>
      <c r="AN816" s="16"/>
      <c r="AP816" s="16"/>
      <c r="AR816" s="16"/>
      <c r="AT816" s="16"/>
      <c r="AV816" s="16"/>
    </row>
    <row r="817" spans="3:48" ht="12.75">
      <c r="C817" s="16"/>
      <c r="E817" s="16"/>
      <c r="G817" s="16"/>
      <c r="I817" s="16"/>
      <c r="K817" s="16"/>
      <c r="M817" s="16"/>
      <c r="O817" s="16"/>
      <c r="Q817" s="16"/>
      <c r="R817" s="16"/>
      <c r="T817" s="16"/>
      <c r="V817" s="16"/>
      <c r="X817" s="16"/>
      <c r="Z817" s="16"/>
      <c r="AB817" s="16"/>
      <c r="AD817" s="16"/>
      <c r="AF817" s="16"/>
      <c r="AH817" s="16"/>
      <c r="AJ817" s="16"/>
      <c r="AL817" s="16"/>
      <c r="AN817" s="16"/>
      <c r="AP817" s="16"/>
      <c r="AR817" s="16"/>
      <c r="AT817" s="16"/>
      <c r="AV817" s="16"/>
    </row>
    <row r="818" spans="3:48" ht="12.75">
      <c r="C818" s="16"/>
      <c r="E818" s="16"/>
      <c r="G818" s="16"/>
      <c r="I818" s="16"/>
      <c r="K818" s="16"/>
      <c r="M818" s="16"/>
      <c r="O818" s="16"/>
      <c r="Q818" s="16"/>
      <c r="R818" s="16"/>
      <c r="T818" s="16"/>
      <c r="V818" s="16"/>
      <c r="X818" s="16"/>
      <c r="Z818" s="16"/>
      <c r="AB818" s="16"/>
      <c r="AD818" s="16"/>
      <c r="AF818" s="16"/>
      <c r="AH818" s="16"/>
      <c r="AJ818" s="16"/>
      <c r="AL818" s="16"/>
      <c r="AN818" s="16"/>
      <c r="AP818" s="16"/>
      <c r="AR818" s="16"/>
      <c r="AT818" s="16"/>
      <c r="AV818" s="16"/>
    </row>
    <row r="819" spans="3:48" ht="12.75">
      <c r="C819" s="16"/>
      <c r="E819" s="16"/>
      <c r="G819" s="16"/>
      <c r="I819" s="16"/>
      <c r="K819" s="16"/>
      <c r="M819" s="16"/>
      <c r="O819" s="16"/>
      <c r="Q819" s="16"/>
      <c r="R819" s="16"/>
      <c r="T819" s="16"/>
      <c r="V819" s="16"/>
      <c r="X819" s="16"/>
      <c r="Z819" s="16"/>
      <c r="AB819" s="16"/>
      <c r="AD819" s="16"/>
      <c r="AF819" s="16"/>
      <c r="AH819" s="16"/>
      <c r="AJ819" s="16"/>
      <c r="AL819" s="16"/>
      <c r="AN819" s="16"/>
      <c r="AP819" s="16"/>
      <c r="AR819" s="16"/>
      <c r="AT819" s="16"/>
      <c r="AV819" s="16"/>
    </row>
    <row r="820" spans="3:48" ht="12.75">
      <c r="C820" s="16"/>
      <c r="E820" s="16"/>
      <c r="G820" s="16"/>
      <c r="I820" s="16"/>
      <c r="K820" s="16"/>
      <c r="M820" s="16"/>
      <c r="O820" s="16"/>
      <c r="Q820" s="16"/>
      <c r="R820" s="16"/>
      <c r="T820" s="16"/>
      <c r="V820" s="16"/>
      <c r="X820" s="16"/>
      <c r="Z820" s="16"/>
      <c r="AB820" s="16"/>
      <c r="AD820" s="16"/>
      <c r="AF820" s="16"/>
      <c r="AH820" s="16"/>
      <c r="AJ820" s="16"/>
      <c r="AL820" s="16"/>
      <c r="AN820" s="16"/>
      <c r="AP820" s="16"/>
      <c r="AR820" s="16"/>
      <c r="AT820" s="16"/>
      <c r="AV820" s="16"/>
    </row>
    <row r="821" spans="3:48" ht="12.75">
      <c r="C821" s="16"/>
      <c r="E821" s="16"/>
      <c r="G821" s="16"/>
      <c r="I821" s="16"/>
      <c r="K821" s="16"/>
      <c r="M821" s="16"/>
      <c r="O821" s="16"/>
      <c r="Q821" s="16"/>
      <c r="R821" s="16"/>
      <c r="T821" s="16"/>
      <c r="V821" s="16"/>
      <c r="X821" s="16"/>
      <c r="Z821" s="16"/>
      <c r="AB821" s="16"/>
      <c r="AD821" s="16"/>
      <c r="AF821" s="16"/>
      <c r="AH821" s="16"/>
      <c r="AJ821" s="16"/>
      <c r="AL821" s="16"/>
      <c r="AN821" s="16"/>
      <c r="AP821" s="16"/>
      <c r="AR821" s="16"/>
      <c r="AT821" s="16"/>
      <c r="AV821" s="16"/>
    </row>
    <row r="822" spans="3:48" ht="12.75">
      <c r="C822" s="16"/>
      <c r="E822" s="16"/>
      <c r="G822" s="16"/>
      <c r="I822" s="16"/>
      <c r="K822" s="16"/>
      <c r="M822" s="16"/>
      <c r="O822" s="16"/>
      <c r="Q822" s="16"/>
      <c r="R822" s="16"/>
      <c r="T822" s="16"/>
      <c r="V822" s="16"/>
      <c r="X822" s="16"/>
      <c r="Z822" s="16"/>
      <c r="AB822" s="16"/>
      <c r="AD822" s="16"/>
      <c r="AF822" s="16"/>
      <c r="AH822" s="16"/>
      <c r="AJ822" s="16"/>
      <c r="AL822" s="16"/>
      <c r="AN822" s="16"/>
      <c r="AP822" s="16"/>
      <c r="AR822" s="16"/>
      <c r="AT822" s="16"/>
      <c r="AV822" s="16"/>
    </row>
    <row r="823" spans="3:48" ht="12.75">
      <c r="C823" s="16"/>
      <c r="E823" s="16"/>
      <c r="G823" s="16"/>
      <c r="I823" s="16"/>
      <c r="K823" s="16"/>
      <c r="M823" s="16"/>
      <c r="O823" s="16"/>
      <c r="Q823" s="16"/>
      <c r="R823" s="16"/>
      <c r="T823" s="16"/>
      <c r="V823" s="16"/>
      <c r="X823" s="16"/>
      <c r="Z823" s="16"/>
      <c r="AB823" s="16"/>
      <c r="AD823" s="16"/>
      <c r="AF823" s="16"/>
      <c r="AH823" s="16"/>
      <c r="AJ823" s="16"/>
      <c r="AL823" s="16"/>
      <c r="AN823" s="16"/>
      <c r="AP823" s="16"/>
      <c r="AR823" s="16"/>
      <c r="AT823" s="16"/>
      <c r="AV823" s="16"/>
    </row>
    <row r="824" spans="3:48" ht="12.75">
      <c r="C824" s="16"/>
      <c r="E824" s="16"/>
      <c r="G824" s="16"/>
      <c r="I824" s="16"/>
      <c r="K824" s="16"/>
      <c r="M824" s="16"/>
      <c r="O824" s="16"/>
      <c r="Q824" s="16"/>
      <c r="R824" s="16"/>
      <c r="T824" s="16"/>
      <c r="V824" s="16"/>
      <c r="X824" s="16"/>
      <c r="Z824" s="16"/>
      <c r="AB824" s="16"/>
      <c r="AD824" s="16"/>
      <c r="AF824" s="16"/>
      <c r="AH824" s="16"/>
      <c r="AJ824" s="16"/>
      <c r="AL824" s="16"/>
      <c r="AN824" s="16"/>
      <c r="AP824" s="16"/>
      <c r="AR824" s="16"/>
      <c r="AT824" s="16"/>
      <c r="AV824" s="16"/>
    </row>
    <row r="825" spans="3:48" ht="12.75">
      <c r="C825" s="16"/>
      <c r="E825" s="16"/>
      <c r="G825" s="16"/>
      <c r="I825" s="16"/>
      <c r="K825" s="16"/>
      <c r="M825" s="16"/>
      <c r="O825" s="16"/>
      <c r="Q825" s="16"/>
      <c r="R825" s="16"/>
      <c r="T825" s="16"/>
      <c r="V825" s="16"/>
      <c r="X825" s="16"/>
      <c r="Z825" s="16"/>
      <c r="AB825" s="16"/>
      <c r="AD825" s="16"/>
      <c r="AF825" s="16"/>
      <c r="AH825" s="16"/>
      <c r="AJ825" s="16"/>
      <c r="AL825" s="16"/>
      <c r="AN825" s="16"/>
      <c r="AP825" s="16"/>
      <c r="AR825" s="16"/>
      <c r="AT825" s="16"/>
      <c r="AV825" s="16"/>
    </row>
    <row r="826" spans="3:48" ht="12.75">
      <c r="C826" s="16"/>
      <c r="E826" s="16"/>
      <c r="G826" s="16"/>
      <c r="I826" s="16"/>
      <c r="K826" s="16"/>
      <c r="M826" s="16"/>
      <c r="O826" s="16"/>
      <c r="Q826" s="16"/>
      <c r="R826" s="16"/>
      <c r="T826" s="16"/>
      <c r="V826" s="16"/>
      <c r="X826" s="16"/>
      <c r="Z826" s="16"/>
      <c r="AB826" s="16"/>
      <c r="AD826" s="16"/>
      <c r="AF826" s="16"/>
      <c r="AH826" s="16"/>
      <c r="AJ826" s="16"/>
      <c r="AL826" s="16"/>
      <c r="AN826" s="16"/>
      <c r="AP826" s="16"/>
      <c r="AR826" s="16"/>
      <c r="AT826" s="16"/>
      <c r="AV826" s="16"/>
    </row>
    <row r="827" spans="3:48" ht="12.75">
      <c r="C827" s="16"/>
      <c r="E827" s="16"/>
      <c r="G827" s="16"/>
      <c r="I827" s="16"/>
      <c r="K827" s="16"/>
      <c r="M827" s="16"/>
      <c r="O827" s="16"/>
      <c r="Q827" s="16"/>
      <c r="R827" s="16"/>
      <c r="T827" s="16"/>
      <c r="V827" s="16"/>
      <c r="X827" s="16"/>
      <c r="Z827" s="16"/>
      <c r="AB827" s="16"/>
      <c r="AD827" s="16"/>
      <c r="AF827" s="16"/>
      <c r="AH827" s="16"/>
      <c r="AJ827" s="16"/>
      <c r="AL827" s="16"/>
      <c r="AN827" s="16"/>
      <c r="AP827" s="16"/>
      <c r="AR827" s="16"/>
      <c r="AT827" s="16"/>
      <c r="AV827" s="16"/>
    </row>
    <row r="828" spans="3:48" ht="12.75">
      <c r="C828" s="16"/>
      <c r="E828" s="16"/>
      <c r="G828" s="16"/>
      <c r="I828" s="16"/>
      <c r="K828" s="16"/>
      <c r="M828" s="16"/>
      <c r="O828" s="16"/>
      <c r="Q828" s="16"/>
      <c r="R828" s="16"/>
      <c r="T828" s="16"/>
      <c r="V828" s="16"/>
      <c r="X828" s="16"/>
      <c r="Z828" s="16"/>
      <c r="AB828" s="16"/>
      <c r="AD828" s="16"/>
      <c r="AF828" s="16"/>
      <c r="AH828" s="16"/>
      <c r="AJ828" s="16"/>
      <c r="AL828" s="16"/>
      <c r="AN828" s="16"/>
      <c r="AP828" s="16"/>
      <c r="AR828" s="16"/>
      <c r="AT828" s="16"/>
      <c r="AV828" s="16"/>
    </row>
    <row r="829" spans="3:48" ht="12.75">
      <c r="C829" s="16"/>
      <c r="E829" s="16"/>
      <c r="G829" s="16"/>
      <c r="I829" s="16"/>
      <c r="K829" s="16"/>
      <c r="M829" s="16"/>
      <c r="O829" s="16"/>
      <c r="Q829" s="16"/>
      <c r="R829" s="16"/>
      <c r="T829" s="16"/>
      <c r="V829" s="16"/>
      <c r="X829" s="16"/>
      <c r="Z829" s="16"/>
      <c r="AB829" s="16"/>
      <c r="AD829" s="16"/>
      <c r="AF829" s="16"/>
      <c r="AH829" s="16"/>
      <c r="AJ829" s="16"/>
      <c r="AL829" s="16"/>
      <c r="AN829" s="16"/>
      <c r="AP829" s="16"/>
      <c r="AR829" s="16"/>
      <c r="AT829" s="16"/>
      <c r="AV829" s="16"/>
    </row>
    <row r="830" spans="3:48" ht="12.75">
      <c r="C830" s="16"/>
      <c r="E830" s="16"/>
      <c r="G830" s="16"/>
      <c r="I830" s="16"/>
      <c r="K830" s="16"/>
      <c r="M830" s="16"/>
      <c r="O830" s="16"/>
      <c r="Q830" s="16"/>
      <c r="R830" s="16"/>
      <c r="T830" s="16"/>
      <c r="V830" s="16"/>
      <c r="X830" s="16"/>
      <c r="Z830" s="16"/>
      <c r="AB830" s="16"/>
      <c r="AD830" s="16"/>
      <c r="AF830" s="16"/>
      <c r="AH830" s="16"/>
      <c r="AJ830" s="16"/>
      <c r="AL830" s="16"/>
      <c r="AN830" s="16"/>
      <c r="AP830" s="16"/>
      <c r="AR830" s="16"/>
      <c r="AT830" s="16"/>
      <c r="AV830" s="16"/>
    </row>
    <row r="831" spans="3:48" ht="12.75">
      <c r="C831" s="16"/>
      <c r="E831" s="16"/>
      <c r="G831" s="16"/>
      <c r="I831" s="16"/>
      <c r="K831" s="16"/>
      <c r="M831" s="16"/>
      <c r="O831" s="16"/>
      <c r="Q831" s="16"/>
      <c r="R831" s="16"/>
      <c r="T831" s="16"/>
      <c r="V831" s="16"/>
      <c r="X831" s="16"/>
      <c r="Z831" s="16"/>
      <c r="AB831" s="16"/>
      <c r="AD831" s="16"/>
      <c r="AF831" s="16"/>
      <c r="AH831" s="16"/>
      <c r="AJ831" s="16"/>
      <c r="AL831" s="16"/>
      <c r="AN831" s="16"/>
      <c r="AP831" s="16"/>
      <c r="AR831" s="16"/>
      <c r="AT831" s="16"/>
      <c r="AV831" s="16"/>
    </row>
    <row r="832" spans="3:48" ht="12.75">
      <c r="C832" s="16"/>
      <c r="E832" s="16"/>
      <c r="G832" s="16"/>
      <c r="I832" s="16"/>
      <c r="K832" s="16"/>
      <c r="M832" s="16"/>
      <c r="O832" s="16"/>
      <c r="Q832" s="16"/>
      <c r="R832" s="16"/>
      <c r="T832" s="16"/>
      <c r="V832" s="16"/>
      <c r="X832" s="16"/>
      <c r="Z832" s="16"/>
      <c r="AB832" s="16"/>
      <c r="AD832" s="16"/>
      <c r="AF832" s="16"/>
      <c r="AH832" s="16"/>
      <c r="AJ832" s="16"/>
      <c r="AL832" s="16"/>
      <c r="AN832" s="16"/>
      <c r="AP832" s="16"/>
      <c r="AR832" s="16"/>
      <c r="AT832" s="16"/>
      <c r="AV832" s="16"/>
    </row>
    <row r="833" spans="3:48" ht="12.75">
      <c r="C833" s="16"/>
      <c r="E833" s="16"/>
      <c r="G833" s="16"/>
      <c r="I833" s="16"/>
      <c r="K833" s="16"/>
      <c r="M833" s="16"/>
      <c r="O833" s="16"/>
      <c r="Q833" s="16"/>
      <c r="R833" s="16"/>
      <c r="T833" s="16"/>
      <c r="V833" s="16"/>
      <c r="X833" s="16"/>
      <c r="Z833" s="16"/>
      <c r="AB833" s="16"/>
      <c r="AD833" s="16"/>
      <c r="AF833" s="16"/>
      <c r="AH833" s="16"/>
      <c r="AJ833" s="16"/>
      <c r="AL833" s="16"/>
      <c r="AN833" s="16"/>
      <c r="AP833" s="16"/>
      <c r="AR833" s="16"/>
      <c r="AT833" s="16"/>
      <c r="AV833" s="16"/>
    </row>
    <row r="834" spans="3:48" ht="12.75">
      <c r="C834" s="16"/>
      <c r="E834" s="16"/>
      <c r="G834" s="16"/>
      <c r="I834" s="16"/>
      <c r="K834" s="16"/>
      <c r="M834" s="16"/>
      <c r="O834" s="16"/>
      <c r="Q834" s="16"/>
      <c r="R834" s="16"/>
      <c r="T834" s="16"/>
      <c r="V834" s="16"/>
      <c r="X834" s="16"/>
      <c r="Z834" s="16"/>
      <c r="AB834" s="16"/>
      <c r="AD834" s="16"/>
      <c r="AF834" s="16"/>
      <c r="AH834" s="16"/>
      <c r="AJ834" s="16"/>
      <c r="AL834" s="16"/>
      <c r="AN834" s="16"/>
      <c r="AP834" s="16"/>
      <c r="AR834" s="16"/>
      <c r="AT834" s="16"/>
      <c r="AV834" s="16"/>
    </row>
    <row r="835" spans="3:48" ht="12.75">
      <c r="C835" s="16"/>
      <c r="E835" s="16"/>
      <c r="G835" s="16"/>
      <c r="I835" s="16"/>
      <c r="K835" s="16"/>
      <c r="M835" s="16"/>
      <c r="O835" s="16"/>
      <c r="Q835" s="16"/>
      <c r="R835" s="16"/>
      <c r="T835" s="16"/>
      <c r="V835" s="16"/>
      <c r="X835" s="16"/>
      <c r="Z835" s="16"/>
      <c r="AB835" s="16"/>
      <c r="AD835" s="16"/>
      <c r="AF835" s="16"/>
      <c r="AH835" s="16"/>
      <c r="AJ835" s="16"/>
      <c r="AL835" s="16"/>
      <c r="AN835" s="16"/>
      <c r="AP835" s="16"/>
      <c r="AR835" s="16"/>
      <c r="AT835" s="16"/>
      <c r="AV835" s="16"/>
    </row>
    <row r="836" spans="3:48" ht="12.75">
      <c r="C836" s="16"/>
      <c r="E836" s="16"/>
      <c r="G836" s="16"/>
      <c r="I836" s="16"/>
      <c r="K836" s="16"/>
      <c r="M836" s="16"/>
      <c r="O836" s="16"/>
      <c r="Q836" s="16"/>
      <c r="R836" s="16"/>
      <c r="T836" s="16"/>
      <c r="V836" s="16"/>
      <c r="X836" s="16"/>
      <c r="Z836" s="16"/>
      <c r="AB836" s="16"/>
      <c r="AD836" s="16"/>
      <c r="AF836" s="16"/>
      <c r="AH836" s="16"/>
      <c r="AJ836" s="16"/>
      <c r="AL836" s="16"/>
      <c r="AN836" s="16"/>
      <c r="AP836" s="16"/>
      <c r="AR836" s="16"/>
      <c r="AT836" s="16"/>
      <c r="AV836" s="16"/>
    </row>
    <row r="837" spans="3:48" ht="12.75">
      <c r="C837" s="16"/>
      <c r="E837" s="16"/>
      <c r="G837" s="16"/>
      <c r="I837" s="16"/>
      <c r="K837" s="16"/>
      <c r="M837" s="16"/>
      <c r="O837" s="16"/>
      <c r="Q837" s="16"/>
      <c r="R837" s="16"/>
      <c r="T837" s="16"/>
      <c r="V837" s="16"/>
      <c r="X837" s="16"/>
      <c r="Z837" s="16"/>
      <c r="AB837" s="16"/>
      <c r="AD837" s="16"/>
      <c r="AF837" s="16"/>
      <c r="AH837" s="16"/>
      <c r="AJ837" s="16"/>
      <c r="AL837" s="16"/>
      <c r="AN837" s="16"/>
      <c r="AP837" s="16"/>
      <c r="AR837" s="16"/>
      <c r="AT837" s="16"/>
      <c r="AV837" s="16"/>
    </row>
    <row r="838" spans="3:48" ht="12.75">
      <c r="C838" s="16"/>
      <c r="E838" s="16"/>
      <c r="G838" s="16"/>
      <c r="I838" s="16"/>
      <c r="K838" s="16"/>
      <c r="M838" s="16"/>
      <c r="O838" s="16"/>
      <c r="Q838" s="16"/>
      <c r="R838" s="16"/>
      <c r="T838" s="16"/>
      <c r="V838" s="16"/>
      <c r="X838" s="16"/>
      <c r="Z838" s="16"/>
      <c r="AB838" s="16"/>
      <c r="AD838" s="16"/>
      <c r="AF838" s="16"/>
      <c r="AH838" s="16"/>
      <c r="AJ838" s="16"/>
      <c r="AL838" s="16"/>
      <c r="AN838" s="16"/>
      <c r="AP838" s="16"/>
      <c r="AR838" s="16"/>
      <c r="AT838" s="16"/>
      <c r="AV838" s="16"/>
    </row>
    <row r="839" spans="3:48" ht="12.75">
      <c r="C839" s="16"/>
      <c r="E839" s="16"/>
      <c r="G839" s="16"/>
      <c r="I839" s="16"/>
      <c r="K839" s="16"/>
      <c r="M839" s="16"/>
      <c r="O839" s="16"/>
      <c r="Q839" s="16"/>
      <c r="R839" s="16"/>
      <c r="T839" s="16"/>
      <c r="V839" s="16"/>
      <c r="X839" s="16"/>
      <c r="Z839" s="16"/>
      <c r="AB839" s="16"/>
      <c r="AD839" s="16"/>
      <c r="AF839" s="16"/>
      <c r="AH839" s="16"/>
      <c r="AJ839" s="16"/>
      <c r="AL839" s="16"/>
      <c r="AN839" s="16"/>
      <c r="AP839" s="16"/>
      <c r="AR839" s="16"/>
      <c r="AT839" s="16"/>
      <c r="AV839" s="16"/>
    </row>
    <row r="840" spans="3:48" ht="12.75">
      <c r="C840" s="16"/>
      <c r="E840" s="16"/>
      <c r="G840" s="16"/>
      <c r="I840" s="16"/>
      <c r="K840" s="16"/>
      <c r="M840" s="16"/>
      <c r="O840" s="16"/>
      <c r="Q840" s="16"/>
      <c r="R840" s="16"/>
      <c r="T840" s="16"/>
      <c r="V840" s="16"/>
      <c r="X840" s="16"/>
      <c r="Z840" s="16"/>
      <c r="AB840" s="16"/>
      <c r="AD840" s="16"/>
      <c r="AF840" s="16"/>
      <c r="AH840" s="16"/>
      <c r="AJ840" s="16"/>
      <c r="AL840" s="16"/>
      <c r="AN840" s="16"/>
      <c r="AP840" s="16"/>
      <c r="AR840" s="16"/>
      <c r="AT840" s="16"/>
      <c r="AV840" s="16"/>
    </row>
    <row r="841" spans="3:48" ht="12.75">
      <c r="C841" s="16"/>
      <c r="E841" s="16"/>
      <c r="G841" s="16"/>
      <c r="I841" s="16"/>
      <c r="K841" s="16"/>
      <c r="M841" s="16"/>
      <c r="O841" s="16"/>
      <c r="Q841" s="16"/>
      <c r="R841" s="16"/>
      <c r="T841" s="16"/>
      <c r="V841" s="16"/>
      <c r="X841" s="16"/>
      <c r="Z841" s="16"/>
      <c r="AB841" s="16"/>
      <c r="AD841" s="16"/>
      <c r="AF841" s="16"/>
      <c r="AH841" s="16"/>
      <c r="AJ841" s="16"/>
      <c r="AL841" s="16"/>
      <c r="AN841" s="16"/>
      <c r="AP841" s="16"/>
      <c r="AR841" s="16"/>
      <c r="AT841" s="16"/>
      <c r="AV841" s="16"/>
    </row>
    <row r="842" spans="3:48" ht="12.75">
      <c r="C842" s="16"/>
      <c r="E842" s="16"/>
      <c r="G842" s="16"/>
      <c r="I842" s="16"/>
      <c r="K842" s="16"/>
      <c r="M842" s="16"/>
      <c r="O842" s="16"/>
      <c r="Q842" s="16"/>
      <c r="R842" s="16"/>
      <c r="T842" s="16"/>
      <c r="V842" s="16"/>
      <c r="X842" s="16"/>
      <c r="Z842" s="16"/>
      <c r="AB842" s="16"/>
      <c r="AD842" s="16"/>
      <c r="AF842" s="16"/>
      <c r="AH842" s="16"/>
      <c r="AJ842" s="16"/>
      <c r="AL842" s="16"/>
      <c r="AN842" s="16"/>
      <c r="AP842" s="16"/>
      <c r="AR842" s="16"/>
      <c r="AT842" s="16"/>
      <c r="AV842" s="16"/>
    </row>
    <row r="843" spans="3:48" ht="12.75">
      <c r="C843" s="16"/>
      <c r="E843" s="16"/>
      <c r="G843" s="16"/>
      <c r="I843" s="16"/>
      <c r="K843" s="16"/>
      <c r="M843" s="16"/>
      <c r="O843" s="16"/>
      <c r="Q843" s="16"/>
      <c r="R843" s="16"/>
      <c r="T843" s="16"/>
      <c r="V843" s="16"/>
      <c r="X843" s="16"/>
      <c r="Z843" s="16"/>
      <c r="AB843" s="16"/>
      <c r="AD843" s="16"/>
      <c r="AF843" s="16"/>
      <c r="AH843" s="16"/>
      <c r="AJ843" s="16"/>
      <c r="AL843" s="16"/>
      <c r="AN843" s="16"/>
      <c r="AP843" s="16"/>
      <c r="AR843" s="16"/>
      <c r="AT843" s="16"/>
      <c r="AV843" s="16"/>
    </row>
    <row r="844" spans="3:48" ht="12.75">
      <c r="C844" s="16"/>
      <c r="E844" s="16"/>
      <c r="G844" s="16"/>
      <c r="I844" s="16"/>
      <c r="K844" s="16"/>
      <c r="M844" s="16"/>
      <c r="O844" s="16"/>
      <c r="Q844" s="16"/>
      <c r="R844" s="16"/>
      <c r="T844" s="16"/>
      <c r="V844" s="16"/>
      <c r="X844" s="16"/>
      <c r="Z844" s="16"/>
      <c r="AB844" s="16"/>
      <c r="AD844" s="16"/>
      <c r="AF844" s="16"/>
      <c r="AH844" s="16"/>
      <c r="AJ844" s="16"/>
      <c r="AL844" s="16"/>
      <c r="AN844" s="16"/>
      <c r="AP844" s="16"/>
      <c r="AR844" s="16"/>
      <c r="AT844" s="16"/>
      <c r="AV844" s="16"/>
    </row>
    <row r="845" spans="3:48" ht="12.75">
      <c r="C845" s="16"/>
      <c r="E845" s="16"/>
      <c r="G845" s="16"/>
      <c r="I845" s="16"/>
      <c r="K845" s="16"/>
      <c r="M845" s="16"/>
      <c r="O845" s="16"/>
      <c r="Q845" s="16"/>
      <c r="R845" s="16"/>
      <c r="T845" s="16"/>
      <c r="V845" s="16"/>
      <c r="X845" s="16"/>
      <c r="Z845" s="16"/>
      <c r="AB845" s="16"/>
      <c r="AD845" s="16"/>
      <c r="AF845" s="16"/>
      <c r="AH845" s="16"/>
      <c r="AJ845" s="16"/>
      <c r="AL845" s="16"/>
      <c r="AN845" s="16"/>
      <c r="AP845" s="16"/>
      <c r="AR845" s="16"/>
      <c r="AT845" s="16"/>
      <c r="AV845" s="16"/>
    </row>
    <row r="846" spans="3:48" ht="12.75">
      <c r="C846" s="16"/>
      <c r="E846" s="16"/>
      <c r="G846" s="16"/>
      <c r="I846" s="16"/>
      <c r="K846" s="16"/>
      <c r="M846" s="16"/>
      <c r="O846" s="16"/>
      <c r="Q846" s="16"/>
      <c r="R846" s="16"/>
      <c r="T846" s="16"/>
      <c r="V846" s="16"/>
      <c r="X846" s="16"/>
      <c r="Z846" s="16"/>
      <c r="AB846" s="16"/>
      <c r="AD846" s="16"/>
      <c r="AF846" s="16"/>
      <c r="AH846" s="16"/>
      <c r="AJ846" s="16"/>
      <c r="AL846" s="16"/>
      <c r="AN846" s="16"/>
      <c r="AP846" s="16"/>
      <c r="AR846" s="16"/>
      <c r="AT846" s="16"/>
      <c r="AV846" s="16"/>
    </row>
    <row r="847" spans="3:48" ht="12.75">
      <c r="C847" s="16"/>
      <c r="E847" s="16"/>
      <c r="G847" s="16"/>
      <c r="I847" s="16"/>
      <c r="K847" s="16"/>
      <c r="M847" s="16"/>
      <c r="O847" s="16"/>
      <c r="Q847" s="16"/>
      <c r="R847" s="16"/>
      <c r="T847" s="16"/>
      <c r="V847" s="16"/>
      <c r="X847" s="16"/>
      <c r="Z847" s="16"/>
      <c r="AB847" s="16"/>
      <c r="AD847" s="16"/>
      <c r="AF847" s="16"/>
      <c r="AH847" s="16"/>
      <c r="AJ847" s="16"/>
      <c r="AL847" s="16"/>
      <c r="AN847" s="16"/>
      <c r="AP847" s="16"/>
      <c r="AR847" s="16"/>
      <c r="AT847" s="16"/>
      <c r="AV847" s="16"/>
    </row>
    <row r="848" spans="3:48" ht="12.75">
      <c r="C848" s="16"/>
      <c r="E848" s="16"/>
      <c r="G848" s="16"/>
      <c r="I848" s="16"/>
      <c r="K848" s="16"/>
      <c r="M848" s="16"/>
      <c r="O848" s="16"/>
      <c r="Q848" s="16"/>
      <c r="R848" s="16"/>
      <c r="T848" s="16"/>
      <c r="V848" s="16"/>
      <c r="X848" s="16"/>
      <c r="Z848" s="16"/>
      <c r="AB848" s="16"/>
      <c r="AD848" s="16"/>
      <c r="AF848" s="16"/>
      <c r="AH848" s="16"/>
      <c r="AJ848" s="16"/>
      <c r="AL848" s="16"/>
      <c r="AN848" s="16"/>
      <c r="AP848" s="16"/>
      <c r="AR848" s="16"/>
      <c r="AT848" s="16"/>
      <c r="AV848" s="16"/>
    </row>
    <row r="849" spans="3:48" ht="12.75">
      <c r="C849" s="16"/>
      <c r="E849" s="16"/>
      <c r="G849" s="16"/>
      <c r="I849" s="16"/>
      <c r="K849" s="16"/>
      <c r="M849" s="16"/>
      <c r="O849" s="16"/>
      <c r="Q849" s="16"/>
      <c r="R849" s="16"/>
      <c r="T849" s="16"/>
      <c r="V849" s="16"/>
      <c r="X849" s="16"/>
      <c r="Z849" s="16"/>
      <c r="AB849" s="16"/>
      <c r="AD849" s="16"/>
      <c r="AF849" s="16"/>
      <c r="AH849" s="16"/>
      <c r="AJ849" s="16"/>
      <c r="AL849" s="16"/>
      <c r="AN849" s="16"/>
      <c r="AP849" s="16"/>
      <c r="AR849" s="16"/>
      <c r="AT849" s="16"/>
      <c r="AV849" s="16"/>
    </row>
    <row r="850" spans="3:48" ht="12.75">
      <c r="C850" s="16"/>
      <c r="E850" s="16"/>
      <c r="G850" s="16"/>
      <c r="I850" s="16"/>
      <c r="K850" s="16"/>
      <c r="M850" s="16"/>
      <c r="O850" s="16"/>
      <c r="Q850" s="16"/>
      <c r="R850" s="16"/>
      <c r="T850" s="16"/>
      <c r="V850" s="16"/>
      <c r="X850" s="16"/>
      <c r="Z850" s="16"/>
      <c r="AB850" s="16"/>
      <c r="AD850" s="16"/>
      <c r="AF850" s="16"/>
      <c r="AH850" s="16"/>
      <c r="AJ850" s="16"/>
      <c r="AL850" s="16"/>
      <c r="AN850" s="16"/>
      <c r="AP850" s="16"/>
      <c r="AR850" s="16"/>
      <c r="AT850" s="16"/>
      <c r="AV850" s="16"/>
    </row>
    <row r="851" spans="3:48" ht="12.75">
      <c r="C851" s="16"/>
      <c r="E851" s="16"/>
      <c r="G851" s="16"/>
      <c r="I851" s="16"/>
      <c r="K851" s="16"/>
      <c r="M851" s="16"/>
      <c r="O851" s="16"/>
      <c r="Q851" s="16"/>
      <c r="R851" s="16"/>
      <c r="T851" s="16"/>
      <c r="V851" s="16"/>
      <c r="X851" s="16"/>
      <c r="Z851" s="16"/>
      <c r="AB851" s="16"/>
      <c r="AD851" s="16"/>
      <c r="AF851" s="16"/>
      <c r="AH851" s="16"/>
      <c r="AJ851" s="16"/>
      <c r="AL851" s="16"/>
      <c r="AN851" s="16"/>
      <c r="AP851" s="16"/>
      <c r="AR851" s="16"/>
      <c r="AT851" s="16"/>
      <c r="AV851" s="16"/>
    </row>
    <row r="852" spans="3:48" ht="12.75">
      <c r="C852" s="16"/>
      <c r="E852" s="16"/>
      <c r="G852" s="16"/>
      <c r="I852" s="16"/>
      <c r="K852" s="16"/>
      <c r="M852" s="16"/>
      <c r="O852" s="16"/>
      <c r="Q852" s="16"/>
      <c r="R852" s="16"/>
      <c r="T852" s="16"/>
      <c r="V852" s="16"/>
      <c r="X852" s="16"/>
      <c r="Z852" s="16"/>
      <c r="AB852" s="16"/>
      <c r="AD852" s="16"/>
      <c r="AF852" s="16"/>
      <c r="AH852" s="16"/>
      <c r="AJ852" s="16"/>
      <c r="AL852" s="16"/>
      <c r="AN852" s="16"/>
      <c r="AP852" s="16"/>
      <c r="AR852" s="16"/>
      <c r="AT852" s="16"/>
      <c r="AV852" s="16"/>
    </row>
    <row r="853" spans="3:48" ht="12.75">
      <c r="C853" s="16"/>
      <c r="E853" s="16"/>
      <c r="G853" s="16"/>
      <c r="I853" s="16"/>
      <c r="K853" s="16"/>
      <c r="M853" s="16"/>
      <c r="O853" s="16"/>
      <c r="Q853" s="16"/>
      <c r="R853" s="16"/>
      <c r="T853" s="16"/>
      <c r="V853" s="16"/>
      <c r="X853" s="16"/>
      <c r="Z853" s="16"/>
      <c r="AB853" s="16"/>
      <c r="AD853" s="16"/>
      <c r="AF853" s="16"/>
      <c r="AH853" s="16"/>
      <c r="AJ853" s="16"/>
      <c r="AL853" s="16"/>
      <c r="AN853" s="16"/>
      <c r="AP853" s="16"/>
      <c r="AR853" s="16"/>
      <c r="AT853" s="16"/>
      <c r="AV853" s="16"/>
    </row>
    <row r="854" spans="3:48" ht="12.75">
      <c r="C854" s="16"/>
      <c r="E854" s="16"/>
      <c r="G854" s="16"/>
      <c r="I854" s="16"/>
      <c r="K854" s="16"/>
      <c r="M854" s="16"/>
      <c r="O854" s="16"/>
      <c r="Q854" s="16"/>
      <c r="R854" s="16"/>
      <c r="T854" s="16"/>
      <c r="V854" s="16"/>
      <c r="X854" s="16"/>
      <c r="Z854" s="16"/>
      <c r="AB854" s="16"/>
      <c r="AD854" s="16"/>
      <c r="AF854" s="16"/>
      <c r="AH854" s="16"/>
      <c r="AJ854" s="16"/>
      <c r="AL854" s="16"/>
      <c r="AN854" s="16"/>
      <c r="AP854" s="16"/>
      <c r="AR854" s="16"/>
      <c r="AT854" s="16"/>
      <c r="AV854" s="16"/>
    </row>
    <row r="855" spans="3:48" ht="12.75">
      <c r="C855" s="16"/>
      <c r="E855" s="16"/>
      <c r="G855" s="16"/>
      <c r="I855" s="16"/>
      <c r="K855" s="16"/>
      <c r="M855" s="16"/>
      <c r="O855" s="16"/>
      <c r="Q855" s="16"/>
      <c r="R855" s="16"/>
      <c r="T855" s="16"/>
      <c r="V855" s="16"/>
      <c r="X855" s="16"/>
      <c r="Z855" s="16"/>
      <c r="AB855" s="16"/>
      <c r="AD855" s="16"/>
      <c r="AF855" s="16"/>
      <c r="AH855" s="16"/>
      <c r="AJ855" s="16"/>
      <c r="AL855" s="16"/>
      <c r="AN855" s="16"/>
      <c r="AP855" s="16"/>
      <c r="AR855" s="16"/>
      <c r="AT855" s="16"/>
      <c r="AV855" s="16"/>
    </row>
    <row r="856" spans="3:48" ht="12.75">
      <c r="C856" s="16"/>
      <c r="E856" s="16"/>
      <c r="G856" s="16"/>
      <c r="I856" s="16"/>
      <c r="K856" s="16"/>
      <c r="M856" s="16"/>
      <c r="O856" s="16"/>
      <c r="Q856" s="16"/>
      <c r="R856" s="16"/>
      <c r="T856" s="16"/>
      <c r="V856" s="16"/>
      <c r="X856" s="16"/>
      <c r="Z856" s="16"/>
      <c r="AB856" s="16"/>
      <c r="AD856" s="16"/>
      <c r="AF856" s="16"/>
      <c r="AH856" s="16"/>
      <c r="AJ856" s="16"/>
      <c r="AL856" s="16"/>
      <c r="AN856" s="16"/>
      <c r="AP856" s="16"/>
      <c r="AR856" s="16"/>
      <c r="AT856" s="16"/>
      <c r="AV856" s="16"/>
    </row>
    <row r="857" spans="3:48" ht="12.75">
      <c r="C857" s="16"/>
      <c r="E857" s="16"/>
      <c r="G857" s="16"/>
      <c r="I857" s="16"/>
      <c r="K857" s="16"/>
      <c r="M857" s="16"/>
      <c r="O857" s="16"/>
      <c r="Q857" s="16"/>
      <c r="R857" s="16"/>
      <c r="T857" s="16"/>
      <c r="V857" s="16"/>
      <c r="X857" s="16"/>
      <c r="Z857" s="16"/>
      <c r="AB857" s="16"/>
      <c r="AD857" s="16"/>
      <c r="AF857" s="16"/>
      <c r="AH857" s="16"/>
      <c r="AJ857" s="16"/>
      <c r="AL857" s="16"/>
      <c r="AN857" s="16"/>
      <c r="AP857" s="16"/>
      <c r="AR857" s="16"/>
      <c r="AT857" s="16"/>
      <c r="AV857" s="16"/>
    </row>
    <row r="858" spans="3:48" ht="12.75">
      <c r="C858" s="16"/>
      <c r="E858" s="16"/>
      <c r="G858" s="16"/>
      <c r="I858" s="16"/>
      <c r="K858" s="16"/>
      <c r="M858" s="16"/>
      <c r="O858" s="16"/>
      <c r="Q858" s="16"/>
      <c r="R858" s="16"/>
      <c r="T858" s="16"/>
      <c r="V858" s="16"/>
      <c r="X858" s="16"/>
      <c r="Z858" s="16"/>
      <c r="AB858" s="16"/>
      <c r="AD858" s="16"/>
      <c r="AF858" s="16"/>
      <c r="AH858" s="16"/>
      <c r="AJ858" s="16"/>
      <c r="AL858" s="16"/>
      <c r="AN858" s="16"/>
      <c r="AP858" s="16"/>
      <c r="AR858" s="16"/>
      <c r="AT858" s="16"/>
      <c r="AV858" s="16"/>
    </row>
    <row r="859" spans="3:48" ht="12.75">
      <c r="C859" s="16"/>
      <c r="E859" s="16"/>
      <c r="G859" s="16"/>
      <c r="I859" s="16"/>
      <c r="K859" s="16"/>
      <c r="M859" s="16"/>
      <c r="O859" s="16"/>
      <c r="Q859" s="16"/>
      <c r="R859" s="16"/>
      <c r="T859" s="16"/>
      <c r="V859" s="16"/>
      <c r="X859" s="16"/>
      <c r="Z859" s="16"/>
      <c r="AB859" s="16"/>
      <c r="AD859" s="16"/>
      <c r="AF859" s="16"/>
      <c r="AH859" s="16"/>
      <c r="AJ859" s="16"/>
      <c r="AL859" s="16"/>
      <c r="AN859" s="16"/>
      <c r="AP859" s="16"/>
      <c r="AR859" s="16"/>
      <c r="AT859" s="16"/>
      <c r="AV859" s="16"/>
    </row>
    <row r="860" spans="3:48" ht="12.75">
      <c r="C860" s="16"/>
      <c r="E860" s="16"/>
      <c r="G860" s="16"/>
      <c r="I860" s="16"/>
      <c r="K860" s="16"/>
      <c r="M860" s="16"/>
      <c r="O860" s="16"/>
      <c r="Q860" s="16"/>
      <c r="R860" s="16"/>
      <c r="T860" s="16"/>
      <c r="V860" s="16"/>
      <c r="X860" s="16"/>
      <c r="Z860" s="16"/>
      <c r="AB860" s="16"/>
      <c r="AD860" s="16"/>
      <c r="AF860" s="16"/>
      <c r="AH860" s="16"/>
      <c r="AJ860" s="16"/>
      <c r="AL860" s="16"/>
      <c r="AN860" s="16"/>
      <c r="AP860" s="16"/>
      <c r="AR860" s="16"/>
      <c r="AT860" s="16"/>
      <c r="AV860" s="16"/>
    </row>
    <row r="861" spans="3:48" ht="12.75">
      <c r="C861" s="16"/>
      <c r="E861" s="16"/>
      <c r="G861" s="16"/>
      <c r="I861" s="16"/>
      <c r="K861" s="16"/>
      <c r="M861" s="16"/>
      <c r="O861" s="16"/>
      <c r="Q861" s="16"/>
      <c r="R861" s="16"/>
      <c r="T861" s="16"/>
      <c r="V861" s="16"/>
      <c r="X861" s="16"/>
      <c r="Z861" s="16"/>
      <c r="AB861" s="16"/>
      <c r="AD861" s="16"/>
      <c r="AF861" s="16"/>
      <c r="AH861" s="16"/>
      <c r="AJ861" s="16"/>
      <c r="AL861" s="16"/>
      <c r="AN861" s="16"/>
      <c r="AP861" s="16"/>
      <c r="AR861" s="16"/>
      <c r="AT861" s="16"/>
      <c r="AV861" s="16"/>
    </row>
    <row r="862" spans="3:48" ht="12.75">
      <c r="C862" s="16"/>
      <c r="E862" s="16"/>
      <c r="G862" s="16"/>
      <c r="I862" s="16"/>
      <c r="K862" s="16"/>
      <c r="M862" s="16"/>
      <c r="O862" s="16"/>
      <c r="Q862" s="16"/>
      <c r="R862" s="16"/>
      <c r="T862" s="16"/>
      <c r="V862" s="16"/>
      <c r="X862" s="16"/>
      <c r="Z862" s="16"/>
      <c r="AB862" s="16"/>
      <c r="AD862" s="16"/>
      <c r="AF862" s="16"/>
      <c r="AH862" s="16"/>
      <c r="AJ862" s="16"/>
      <c r="AL862" s="16"/>
      <c r="AN862" s="16"/>
      <c r="AP862" s="16"/>
      <c r="AR862" s="16"/>
      <c r="AT862" s="16"/>
      <c r="AV862" s="16"/>
    </row>
    <row r="863" spans="3:48" ht="12.75">
      <c r="C863" s="16"/>
      <c r="E863" s="16"/>
      <c r="G863" s="16"/>
      <c r="I863" s="16"/>
      <c r="K863" s="16"/>
      <c r="M863" s="16"/>
      <c r="O863" s="16"/>
      <c r="Q863" s="16"/>
      <c r="R863" s="16"/>
      <c r="T863" s="16"/>
      <c r="V863" s="16"/>
      <c r="X863" s="16"/>
      <c r="Z863" s="16"/>
      <c r="AB863" s="16"/>
      <c r="AD863" s="16"/>
      <c r="AF863" s="16"/>
      <c r="AH863" s="16"/>
      <c r="AJ863" s="16"/>
      <c r="AL863" s="16"/>
      <c r="AN863" s="16"/>
      <c r="AP863" s="16"/>
      <c r="AR863" s="16"/>
      <c r="AT863" s="16"/>
      <c r="AV863" s="16"/>
    </row>
    <row r="864" spans="3:48" ht="12.75">
      <c r="C864" s="16"/>
      <c r="E864" s="16"/>
      <c r="G864" s="16"/>
      <c r="I864" s="16"/>
      <c r="K864" s="16"/>
      <c r="M864" s="16"/>
      <c r="O864" s="16"/>
      <c r="Q864" s="16"/>
      <c r="R864" s="16"/>
      <c r="T864" s="16"/>
      <c r="V864" s="16"/>
      <c r="X864" s="16"/>
      <c r="Z864" s="16"/>
      <c r="AB864" s="16"/>
      <c r="AD864" s="16"/>
      <c r="AF864" s="16"/>
      <c r="AH864" s="16"/>
      <c r="AJ864" s="16"/>
      <c r="AL864" s="16"/>
      <c r="AN864" s="16"/>
      <c r="AP864" s="16"/>
      <c r="AR864" s="16"/>
      <c r="AT864" s="16"/>
      <c r="AV864" s="16"/>
    </row>
    <row r="865" spans="3:48" ht="12.75">
      <c r="C865" s="16"/>
      <c r="E865" s="16"/>
      <c r="G865" s="16"/>
      <c r="I865" s="16"/>
      <c r="K865" s="16"/>
      <c r="M865" s="16"/>
      <c r="O865" s="16"/>
      <c r="Q865" s="16"/>
      <c r="R865" s="16"/>
      <c r="T865" s="16"/>
      <c r="V865" s="16"/>
      <c r="X865" s="16"/>
      <c r="Z865" s="16"/>
      <c r="AB865" s="16"/>
      <c r="AD865" s="16"/>
      <c r="AF865" s="16"/>
      <c r="AH865" s="16"/>
      <c r="AJ865" s="16"/>
      <c r="AL865" s="16"/>
      <c r="AN865" s="16"/>
      <c r="AP865" s="16"/>
      <c r="AR865" s="16"/>
      <c r="AT865" s="16"/>
      <c r="AV865" s="16"/>
    </row>
    <row r="866" spans="3:48" ht="12.75">
      <c r="C866" s="16"/>
      <c r="E866" s="16"/>
      <c r="G866" s="16"/>
      <c r="I866" s="16"/>
      <c r="K866" s="16"/>
      <c r="M866" s="16"/>
      <c r="O866" s="16"/>
      <c r="Q866" s="16"/>
      <c r="R866" s="16"/>
      <c r="T866" s="16"/>
      <c r="V866" s="16"/>
      <c r="X866" s="16"/>
      <c r="Z866" s="16"/>
      <c r="AB866" s="16"/>
      <c r="AD866" s="16"/>
      <c r="AF866" s="16"/>
      <c r="AH866" s="16"/>
      <c r="AJ866" s="16"/>
      <c r="AL866" s="16"/>
      <c r="AN866" s="16"/>
      <c r="AP866" s="16"/>
      <c r="AR866" s="16"/>
      <c r="AT866" s="16"/>
      <c r="AV866" s="16"/>
    </row>
    <row r="867" spans="3:48" ht="12.75">
      <c r="C867" s="16"/>
      <c r="E867" s="16"/>
      <c r="G867" s="16"/>
      <c r="I867" s="16"/>
      <c r="K867" s="16"/>
      <c r="M867" s="16"/>
      <c r="O867" s="16"/>
      <c r="Q867" s="16"/>
      <c r="R867" s="16"/>
      <c r="T867" s="16"/>
      <c r="V867" s="16"/>
      <c r="X867" s="16"/>
      <c r="Z867" s="16"/>
      <c r="AB867" s="16"/>
      <c r="AD867" s="16"/>
      <c r="AF867" s="16"/>
      <c r="AH867" s="16"/>
      <c r="AJ867" s="16"/>
      <c r="AL867" s="16"/>
      <c r="AN867" s="16"/>
      <c r="AP867" s="16"/>
      <c r="AR867" s="16"/>
      <c r="AT867" s="16"/>
      <c r="AV867" s="16"/>
    </row>
    <row r="868" spans="3:48" ht="12.75">
      <c r="C868" s="16"/>
      <c r="E868" s="16"/>
      <c r="G868" s="16"/>
      <c r="I868" s="16"/>
      <c r="K868" s="16"/>
      <c r="M868" s="16"/>
      <c r="O868" s="16"/>
      <c r="Q868" s="16"/>
      <c r="R868" s="16"/>
      <c r="T868" s="16"/>
      <c r="V868" s="16"/>
      <c r="X868" s="16"/>
      <c r="Z868" s="16"/>
      <c r="AB868" s="16"/>
      <c r="AD868" s="16"/>
      <c r="AF868" s="16"/>
      <c r="AH868" s="16"/>
      <c r="AJ868" s="16"/>
      <c r="AL868" s="16"/>
      <c r="AN868" s="16"/>
      <c r="AP868" s="16"/>
      <c r="AR868" s="16"/>
      <c r="AT868" s="16"/>
      <c r="AV868" s="16"/>
    </row>
    <row r="869" spans="3:48" ht="12.75">
      <c r="C869" s="16"/>
      <c r="E869" s="16"/>
      <c r="G869" s="16"/>
      <c r="I869" s="16"/>
      <c r="K869" s="16"/>
      <c r="M869" s="16"/>
      <c r="O869" s="16"/>
      <c r="Q869" s="16"/>
      <c r="R869" s="16"/>
      <c r="T869" s="16"/>
      <c r="V869" s="16"/>
      <c r="X869" s="16"/>
      <c r="Z869" s="16"/>
      <c r="AB869" s="16"/>
      <c r="AD869" s="16"/>
      <c r="AF869" s="16"/>
      <c r="AH869" s="16"/>
      <c r="AJ869" s="16"/>
      <c r="AL869" s="16"/>
      <c r="AN869" s="16"/>
      <c r="AP869" s="16"/>
      <c r="AR869" s="16"/>
      <c r="AT869" s="16"/>
      <c r="AV869" s="16"/>
    </row>
    <row r="870" spans="3:48" ht="12.75">
      <c r="C870" s="16"/>
      <c r="E870" s="16"/>
      <c r="G870" s="16"/>
      <c r="I870" s="16"/>
      <c r="K870" s="16"/>
      <c r="M870" s="16"/>
      <c r="O870" s="16"/>
      <c r="Q870" s="16"/>
      <c r="R870" s="16"/>
      <c r="T870" s="16"/>
      <c r="V870" s="16"/>
      <c r="X870" s="16"/>
      <c r="Z870" s="16"/>
      <c r="AB870" s="16"/>
      <c r="AD870" s="16"/>
      <c r="AF870" s="16"/>
      <c r="AH870" s="16"/>
      <c r="AJ870" s="16"/>
      <c r="AL870" s="16"/>
      <c r="AN870" s="16"/>
      <c r="AP870" s="16"/>
      <c r="AR870" s="16"/>
      <c r="AT870" s="16"/>
      <c r="AV870" s="16"/>
    </row>
    <row r="871" spans="3:48" ht="12.75">
      <c r="C871" s="16"/>
      <c r="E871" s="16"/>
      <c r="G871" s="16"/>
      <c r="I871" s="16"/>
      <c r="K871" s="16"/>
      <c r="M871" s="16"/>
      <c r="O871" s="16"/>
      <c r="Q871" s="16"/>
      <c r="R871" s="16"/>
      <c r="T871" s="16"/>
      <c r="V871" s="16"/>
      <c r="X871" s="16"/>
      <c r="Z871" s="16"/>
      <c r="AB871" s="16"/>
      <c r="AD871" s="16"/>
      <c r="AF871" s="16"/>
      <c r="AH871" s="16"/>
      <c r="AJ871" s="16"/>
      <c r="AL871" s="16"/>
      <c r="AN871" s="16"/>
      <c r="AP871" s="16"/>
      <c r="AR871" s="16"/>
      <c r="AT871" s="16"/>
      <c r="AV871" s="16"/>
    </row>
    <row r="872" spans="3:48" ht="12.75">
      <c r="C872" s="16"/>
      <c r="E872" s="16"/>
      <c r="G872" s="16"/>
      <c r="I872" s="16"/>
      <c r="K872" s="16"/>
      <c r="M872" s="16"/>
      <c r="O872" s="16"/>
      <c r="Q872" s="16"/>
      <c r="R872" s="16"/>
      <c r="T872" s="16"/>
      <c r="V872" s="16"/>
      <c r="X872" s="16"/>
      <c r="Z872" s="16"/>
      <c r="AB872" s="16"/>
      <c r="AD872" s="16"/>
      <c r="AF872" s="16"/>
      <c r="AH872" s="16"/>
      <c r="AJ872" s="16"/>
      <c r="AL872" s="16"/>
      <c r="AN872" s="16"/>
      <c r="AP872" s="16"/>
      <c r="AR872" s="16"/>
      <c r="AT872" s="16"/>
      <c r="AV872" s="16"/>
    </row>
    <row r="873" spans="3:48" ht="12.75">
      <c r="C873" s="16"/>
      <c r="E873" s="16"/>
      <c r="G873" s="16"/>
      <c r="I873" s="16"/>
      <c r="K873" s="16"/>
      <c r="M873" s="16"/>
      <c r="O873" s="16"/>
      <c r="Q873" s="16"/>
      <c r="R873" s="16"/>
      <c r="T873" s="16"/>
      <c r="V873" s="16"/>
      <c r="X873" s="16"/>
      <c r="Z873" s="16"/>
      <c r="AB873" s="16"/>
      <c r="AD873" s="16"/>
      <c r="AF873" s="16"/>
      <c r="AH873" s="16"/>
      <c r="AJ873" s="16"/>
      <c r="AL873" s="16"/>
      <c r="AN873" s="16"/>
      <c r="AP873" s="16"/>
      <c r="AR873" s="16"/>
      <c r="AT873" s="16"/>
      <c r="AV873" s="16"/>
    </row>
    <row r="874" spans="3:48" ht="12.75">
      <c r="C874" s="16"/>
      <c r="E874" s="16"/>
      <c r="G874" s="16"/>
      <c r="I874" s="16"/>
      <c r="K874" s="16"/>
      <c r="M874" s="16"/>
      <c r="O874" s="16"/>
      <c r="Q874" s="16"/>
      <c r="R874" s="16"/>
      <c r="T874" s="16"/>
      <c r="V874" s="16"/>
      <c r="X874" s="16"/>
      <c r="Z874" s="16"/>
      <c r="AB874" s="16"/>
      <c r="AD874" s="16"/>
      <c r="AF874" s="16"/>
      <c r="AH874" s="16"/>
      <c r="AJ874" s="16"/>
      <c r="AL874" s="16"/>
      <c r="AN874" s="16"/>
      <c r="AP874" s="16"/>
      <c r="AR874" s="16"/>
      <c r="AT874" s="16"/>
      <c r="AV874" s="16"/>
    </row>
    <row r="875" spans="3:48" ht="12.75">
      <c r="C875" s="16"/>
      <c r="E875" s="16"/>
      <c r="G875" s="16"/>
      <c r="I875" s="16"/>
      <c r="K875" s="16"/>
      <c r="M875" s="16"/>
      <c r="O875" s="16"/>
      <c r="Q875" s="16"/>
      <c r="R875" s="16"/>
      <c r="T875" s="16"/>
      <c r="V875" s="16"/>
      <c r="X875" s="16"/>
      <c r="Z875" s="16"/>
      <c r="AB875" s="16"/>
      <c r="AD875" s="16"/>
      <c r="AF875" s="16"/>
      <c r="AH875" s="16"/>
      <c r="AJ875" s="16"/>
      <c r="AL875" s="16"/>
      <c r="AN875" s="16"/>
      <c r="AP875" s="16"/>
      <c r="AR875" s="16"/>
      <c r="AT875" s="16"/>
      <c r="AV875" s="16"/>
    </row>
    <row r="876" spans="3:48" ht="12.75">
      <c r="C876" s="16"/>
      <c r="E876" s="16"/>
      <c r="G876" s="16"/>
      <c r="I876" s="16"/>
      <c r="K876" s="16"/>
      <c r="M876" s="16"/>
      <c r="O876" s="16"/>
      <c r="Q876" s="16"/>
      <c r="R876" s="16"/>
      <c r="T876" s="16"/>
      <c r="V876" s="16"/>
      <c r="X876" s="16"/>
      <c r="Z876" s="16"/>
      <c r="AB876" s="16"/>
      <c r="AD876" s="16"/>
      <c r="AF876" s="16"/>
      <c r="AH876" s="16"/>
      <c r="AJ876" s="16"/>
      <c r="AL876" s="16"/>
      <c r="AN876" s="16"/>
      <c r="AP876" s="16"/>
      <c r="AR876" s="16"/>
      <c r="AT876" s="16"/>
      <c r="AV876" s="16"/>
    </row>
    <row r="877" spans="3:48" ht="12.75">
      <c r="C877" s="16"/>
      <c r="E877" s="16"/>
      <c r="G877" s="16"/>
      <c r="I877" s="16"/>
      <c r="K877" s="16"/>
      <c r="M877" s="16"/>
      <c r="O877" s="16"/>
      <c r="Q877" s="16"/>
      <c r="R877" s="16"/>
      <c r="T877" s="16"/>
      <c r="V877" s="16"/>
      <c r="X877" s="16"/>
      <c r="Z877" s="16"/>
      <c r="AB877" s="16"/>
      <c r="AD877" s="16"/>
      <c r="AF877" s="16"/>
      <c r="AH877" s="16"/>
      <c r="AJ877" s="16"/>
      <c r="AL877" s="16"/>
      <c r="AN877" s="16"/>
      <c r="AP877" s="16"/>
      <c r="AR877" s="16"/>
      <c r="AT877" s="16"/>
      <c r="AV877" s="16"/>
    </row>
    <row r="878" spans="3:48" ht="12.75">
      <c r="C878" s="16"/>
      <c r="E878" s="16"/>
      <c r="G878" s="16"/>
      <c r="I878" s="16"/>
      <c r="K878" s="16"/>
      <c r="M878" s="16"/>
      <c r="O878" s="16"/>
      <c r="Q878" s="16"/>
      <c r="R878" s="16"/>
      <c r="T878" s="16"/>
      <c r="V878" s="16"/>
      <c r="X878" s="16"/>
      <c r="Z878" s="16"/>
      <c r="AB878" s="16"/>
      <c r="AD878" s="16"/>
      <c r="AF878" s="16"/>
      <c r="AH878" s="16"/>
      <c r="AJ878" s="16"/>
      <c r="AL878" s="16"/>
      <c r="AN878" s="16"/>
      <c r="AP878" s="16"/>
      <c r="AR878" s="16"/>
      <c r="AT878" s="16"/>
      <c r="AV878" s="16"/>
    </row>
    <row r="879" spans="3:48" ht="12.75">
      <c r="C879" s="16"/>
      <c r="E879" s="16"/>
      <c r="G879" s="16"/>
      <c r="I879" s="16"/>
      <c r="K879" s="16"/>
      <c r="M879" s="16"/>
      <c r="O879" s="16"/>
      <c r="Q879" s="16"/>
      <c r="R879" s="16"/>
      <c r="T879" s="16"/>
      <c r="V879" s="16"/>
      <c r="X879" s="16"/>
      <c r="Z879" s="16"/>
      <c r="AB879" s="16"/>
      <c r="AD879" s="16"/>
      <c r="AF879" s="16"/>
      <c r="AH879" s="16"/>
      <c r="AJ879" s="16"/>
      <c r="AL879" s="16"/>
      <c r="AN879" s="16"/>
      <c r="AP879" s="16"/>
      <c r="AR879" s="16"/>
      <c r="AT879" s="16"/>
      <c r="AV879" s="16"/>
    </row>
    <row r="880" spans="3:48" ht="12.75">
      <c r="C880" s="16"/>
      <c r="E880" s="16"/>
      <c r="G880" s="16"/>
      <c r="I880" s="16"/>
      <c r="K880" s="16"/>
      <c r="M880" s="16"/>
      <c r="O880" s="16"/>
      <c r="Q880" s="16"/>
      <c r="R880" s="16"/>
      <c r="T880" s="16"/>
      <c r="V880" s="16"/>
      <c r="X880" s="16"/>
      <c r="Z880" s="16"/>
      <c r="AB880" s="16"/>
      <c r="AD880" s="16"/>
      <c r="AF880" s="16"/>
      <c r="AH880" s="16"/>
      <c r="AJ880" s="16"/>
      <c r="AL880" s="16"/>
      <c r="AN880" s="16"/>
      <c r="AP880" s="16"/>
      <c r="AR880" s="16"/>
      <c r="AT880" s="16"/>
      <c r="AV880" s="16"/>
    </row>
    <row r="881" spans="3:48" ht="12.75">
      <c r="C881" s="16"/>
      <c r="E881" s="16"/>
      <c r="G881" s="16"/>
      <c r="I881" s="16"/>
      <c r="K881" s="16"/>
      <c r="M881" s="16"/>
      <c r="O881" s="16"/>
      <c r="Q881" s="16"/>
      <c r="R881" s="16"/>
      <c r="T881" s="16"/>
      <c r="V881" s="16"/>
      <c r="X881" s="16"/>
      <c r="Z881" s="16"/>
      <c r="AB881" s="16"/>
      <c r="AD881" s="16"/>
      <c r="AF881" s="16"/>
      <c r="AH881" s="16"/>
      <c r="AJ881" s="16"/>
      <c r="AL881" s="16"/>
      <c r="AN881" s="16"/>
      <c r="AP881" s="16"/>
      <c r="AR881" s="16"/>
      <c r="AT881" s="16"/>
      <c r="AV881" s="16"/>
    </row>
    <row r="882" spans="3:48" ht="12.75">
      <c r="C882" s="16"/>
      <c r="E882" s="16"/>
      <c r="G882" s="16"/>
      <c r="I882" s="16"/>
      <c r="K882" s="16"/>
      <c r="M882" s="16"/>
      <c r="O882" s="16"/>
      <c r="Q882" s="16"/>
      <c r="R882" s="16"/>
      <c r="T882" s="16"/>
      <c r="V882" s="16"/>
      <c r="X882" s="16"/>
      <c r="Z882" s="16"/>
      <c r="AB882" s="16"/>
      <c r="AD882" s="16"/>
      <c r="AF882" s="16"/>
      <c r="AH882" s="16"/>
      <c r="AJ882" s="16"/>
      <c r="AL882" s="16"/>
      <c r="AN882" s="16"/>
      <c r="AP882" s="16"/>
      <c r="AR882" s="16"/>
      <c r="AT882" s="16"/>
      <c r="AV882" s="16"/>
    </row>
    <row r="883" spans="3:48" ht="12.75">
      <c r="C883" s="16"/>
      <c r="E883" s="16"/>
      <c r="G883" s="16"/>
      <c r="I883" s="16"/>
      <c r="K883" s="16"/>
      <c r="M883" s="16"/>
      <c r="O883" s="16"/>
      <c r="Q883" s="16"/>
      <c r="R883" s="16"/>
      <c r="T883" s="16"/>
      <c r="V883" s="16"/>
      <c r="X883" s="16"/>
      <c r="Z883" s="16"/>
      <c r="AB883" s="16"/>
      <c r="AD883" s="16"/>
      <c r="AF883" s="16"/>
      <c r="AH883" s="16"/>
      <c r="AJ883" s="16"/>
      <c r="AL883" s="16"/>
      <c r="AN883" s="16"/>
      <c r="AP883" s="16"/>
      <c r="AR883" s="16"/>
      <c r="AT883" s="16"/>
      <c r="AV883" s="16"/>
    </row>
    <row r="884" spans="3:48" ht="12.75">
      <c r="C884" s="16"/>
      <c r="E884" s="16"/>
      <c r="G884" s="16"/>
      <c r="I884" s="16"/>
      <c r="K884" s="16"/>
      <c r="M884" s="16"/>
      <c r="O884" s="16"/>
      <c r="Q884" s="16"/>
      <c r="R884" s="16"/>
      <c r="T884" s="16"/>
      <c r="V884" s="16"/>
      <c r="X884" s="16"/>
      <c r="Z884" s="16"/>
      <c r="AB884" s="16"/>
      <c r="AD884" s="16"/>
      <c r="AF884" s="16"/>
      <c r="AH884" s="16"/>
      <c r="AJ884" s="16"/>
      <c r="AL884" s="16"/>
      <c r="AN884" s="16"/>
      <c r="AP884" s="16"/>
      <c r="AR884" s="16"/>
      <c r="AT884" s="16"/>
      <c r="AV884" s="16"/>
    </row>
    <row r="885" spans="3:48" ht="12.75">
      <c r="C885" s="16"/>
      <c r="E885" s="16"/>
      <c r="G885" s="16"/>
      <c r="I885" s="16"/>
      <c r="K885" s="16"/>
      <c r="M885" s="16"/>
      <c r="O885" s="16"/>
      <c r="Q885" s="16"/>
      <c r="R885" s="16"/>
      <c r="T885" s="16"/>
      <c r="V885" s="16"/>
      <c r="X885" s="16"/>
      <c r="Z885" s="16"/>
      <c r="AB885" s="16"/>
      <c r="AD885" s="16"/>
      <c r="AF885" s="16"/>
      <c r="AH885" s="16"/>
      <c r="AJ885" s="16"/>
      <c r="AL885" s="16"/>
      <c r="AN885" s="16"/>
      <c r="AP885" s="16"/>
      <c r="AR885" s="16"/>
      <c r="AT885" s="16"/>
      <c r="AV885" s="16"/>
    </row>
    <row r="886" spans="3:48" ht="12.75">
      <c r="C886" s="16"/>
      <c r="E886" s="16"/>
      <c r="G886" s="16"/>
      <c r="I886" s="16"/>
      <c r="K886" s="16"/>
      <c r="M886" s="16"/>
      <c r="O886" s="16"/>
      <c r="Q886" s="16"/>
      <c r="R886" s="16"/>
      <c r="T886" s="16"/>
      <c r="V886" s="16"/>
      <c r="X886" s="16"/>
      <c r="Z886" s="16"/>
      <c r="AB886" s="16"/>
      <c r="AD886" s="16"/>
      <c r="AF886" s="16"/>
      <c r="AH886" s="16"/>
      <c r="AJ886" s="16"/>
      <c r="AL886" s="16"/>
      <c r="AN886" s="16"/>
      <c r="AP886" s="16"/>
      <c r="AR886" s="16"/>
      <c r="AT886" s="16"/>
      <c r="AV886" s="16"/>
    </row>
    <row r="887" spans="3:48" ht="12.75">
      <c r="C887" s="16"/>
      <c r="E887" s="16"/>
      <c r="G887" s="16"/>
      <c r="I887" s="16"/>
      <c r="K887" s="16"/>
      <c r="M887" s="16"/>
      <c r="O887" s="16"/>
      <c r="Q887" s="16"/>
      <c r="R887" s="16"/>
      <c r="T887" s="16"/>
      <c r="V887" s="16"/>
      <c r="X887" s="16"/>
      <c r="Z887" s="16"/>
      <c r="AB887" s="16"/>
      <c r="AD887" s="16"/>
      <c r="AF887" s="16"/>
      <c r="AH887" s="16"/>
      <c r="AJ887" s="16"/>
      <c r="AL887" s="16"/>
      <c r="AN887" s="16"/>
      <c r="AP887" s="16"/>
      <c r="AR887" s="16"/>
      <c r="AT887" s="16"/>
      <c r="AV887" s="16"/>
    </row>
    <row r="888" spans="3:48" ht="12.75">
      <c r="C888" s="16"/>
      <c r="E888" s="16"/>
      <c r="G888" s="16"/>
      <c r="I888" s="16"/>
      <c r="K888" s="16"/>
      <c r="M888" s="16"/>
      <c r="O888" s="16"/>
      <c r="Q888" s="16"/>
      <c r="R888" s="16"/>
      <c r="T888" s="16"/>
      <c r="V888" s="16"/>
      <c r="X888" s="16"/>
      <c r="Z888" s="16"/>
      <c r="AB888" s="16"/>
      <c r="AD888" s="16"/>
      <c r="AF888" s="16"/>
      <c r="AH888" s="16"/>
      <c r="AJ888" s="16"/>
      <c r="AL888" s="16"/>
      <c r="AN888" s="16"/>
      <c r="AP888" s="16"/>
      <c r="AR888" s="16"/>
      <c r="AT888" s="16"/>
      <c r="AV888" s="16"/>
    </row>
    <row r="889" spans="3:48" ht="12.75">
      <c r="C889" s="16"/>
      <c r="E889" s="16"/>
      <c r="G889" s="16"/>
      <c r="I889" s="16"/>
      <c r="K889" s="16"/>
      <c r="M889" s="16"/>
      <c r="O889" s="16"/>
      <c r="Q889" s="16"/>
      <c r="R889" s="16"/>
      <c r="T889" s="16"/>
      <c r="V889" s="16"/>
      <c r="X889" s="16"/>
      <c r="Z889" s="16"/>
      <c r="AB889" s="16"/>
      <c r="AD889" s="16"/>
      <c r="AF889" s="16"/>
      <c r="AH889" s="16"/>
      <c r="AJ889" s="16"/>
      <c r="AL889" s="16"/>
      <c r="AN889" s="16"/>
      <c r="AP889" s="16"/>
      <c r="AR889" s="16"/>
      <c r="AT889" s="16"/>
      <c r="AV889" s="16"/>
    </row>
    <row r="890" spans="3:48" ht="12.75">
      <c r="C890" s="16"/>
      <c r="E890" s="16"/>
      <c r="G890" s="16"/>
      <c r="I890" s="16"/>
      <c r="K890" s="16"/>
      <c r="M890" s="16"/>
      <c r="O890" s="16"/>
      <c r="Q890" s="16"/>
      <c r="R890" s="16"/>
      <c r="T890" s="16"/>
      <c r="V890" s="16"/>
      <c r="X890" s="16"/>
      <c r="Z890" s="16"/>
      <c r="AB890" s="16"/>
      <c r="AD890" s="16"/>
      <c r="AF890" s="16"/>
      <c r="AH890" s="16"/>
      <c r="AJ890" s="16"/>
      <c r="AL890" s="16"/>
      <c r="AN890" s="16"/>
      <c r="AP890" s="16"/>
      <c r="AR890" s="16"/>
      <c r="AT890" s="16"/>
      <c r="AV890" s="16"/>
    </row>
    <row r="891" spans="3:48" ht="12.75">
      <c r="C891" s="16"/>
      <c r="E891" s="16"/>
      <c r="G891" s="16"/>
      <c r="I891" s="16"/>
      <c r="K891" s="16"/>
      <c r="M891" s="16"/>
      <c r="O891" s="16"/>
      <c r="Q891" s="16"/>
      <c r="R891" s="16"/>
      <c r="T891" s="16"/>
      <c r="V891" s="16"/>
      <c r="X891" s="16"/>
      <c r="Z891" s="16"/>
      <c r="AB891" s="16"/>
      <c r="AD891" s="16"/>
      <c r="AF891" s="16"/>
      <c r="AH891" s="16"/>
      <c r="AJ891" s="16"/>
      <c r="AL891" s="16"/>
      <c r="AN891" s="16"/>
      <c r="AP891" s="16"/>
      <c r="AR891" s="16"/>
      <c r="AT891" s="16"/>
      <c r="AV891" s="16"/>
    </row>
    <row r="892" spans="3:48" ht="12.75">
      <c r="C892" s="16"/>
      <c r="E892" s="16"/>
      <c r="G892" s="16"/>
      <c r="I892" s="16"/>
      <c r="K892" s="16"/>
      <c r="M892" s="16"/>
      <c r="O892" s="16"/>
      <c r="Q892" s="16"/>
      <c r="R892" s="16"/>
      <c r="T892" s="16"/>
      <c r="V892" s="16"/>
      <c r="X892" s="16"/>
      <c r="Z892" s="16"/>
      <c r="AB892" s="16"/>
      <c r="AD892" s="16"/>
      <c r="AF892" s="16"/>
      <c r="AH892" s="16"/>
      <c r="AJ892" s="16"/>
      <c r="AL892" s="16"/>
      <c r="AN892" s="16"/>
      <c r="AP892" s="16"/>
      <c r="AR892" s="16"/>
      <c r="AT892" s="16"/>
      <c r="AV892" s="16"/>
    </row>
    <row r="893" spans="3:48" ht="12.75">
      <c r="C893" s="16"/>
      <c r="E893" s="16"/>
      <c r="G893" s="16"/>
      <c r="I893" s="16"/>
      <c r="K893" s="16"/>
      <c r="M893" s="16"/>
      <c r="O893" s="16"/>
      <c r="Q893" s="16"/>
      <c r="R893" s="16"/>
      <c r="T893" s="16"/>
      <c r="V893" s="16"/>
      <c r="X893" s="16"/>
      <c r="Z893" s="16"/>
      <c r="AB893" s="16"/>
      <c r="AD893" s="16"/>
      <c r="AF893" s="16"/>
      <c r="AH893" s="16"/>
      <c r="AJ893" s="16"/>
      <c r="AL893" s="16"/>
      <c r="AN893" s="16"/>
      <c r="AP893" s="16"/>
      <c r="AR893" s="16"/>
      <c r="AT893" s="16"/>
      <c r="AV893" s="16"/>
    </row>
    <row r="894" spans="3:48" ht="12.75">
      <c r="C894" s="16"/>
      <c r="E894" s="16"/>
      <c r="G894" s="16"/>
      <c r="I894" s="16"/>
      <c r="K894" s="16"/>
      <c r="M894" s="16"/>
      <c r="O894" s="16"/>
      <c r="Q894" s="16"/>
      <c r="R894" s="16"/>
      <c r="T894" s="16"/>
      <c r="V894" s="16"/>
      <c r="X894" s="16"/>
      <c r="Z894" s="16"/>
      <c r="AB894" s="16"/>
      <c r="AD894" s="16"/>
      <c r="AF894" s="16"/>
      <c r="AH894" s="16"/>
      <c r="AJ894" s="16"/>
      <c r="AL894" s="16"/>
      <c r="AN894" s="16"/>
      <c r="AP894" s="16"/>
      <c r="AR894" s="16"/>
      <c r="AT894" s="16"/>
      <c r="AV894" s="16"/>
    </row>
    <row r="895" spans="3:48" ht="12.75">
      <c r="C895" s="16"/>
      <c r="E895" s="16"/>
      <c r="G895" s="16"/>
      <c r="I895" s="16"/>
      <c r="K895" s="16"/>
      <c r="M895" s="16"/>
      <c r="O895" s="16"/>
      <c r="Q895" s="16"/>
      <c r="R895" s="16"/>
      <c r="T895" s="16"/>
      <c r="V895" s="16"/>
      <c r="X895" s="16"/>
      <c r="Z895" s="16"/>
      <c r="AB895" s="16"/>
      <c r="AD895" s="16"/>
      <c r="AF895" s="16"/>
      <c r="AH895" s="16"/>
      <c r="AJ895" s="16"/>
      <c r="AL895" s="16"/>
      <c r="AN895" s="16"/>
      <c r="AP895" s="16"/>
      <c r="AR895" s="16"/>
      <c r="AT895" s="16"/>
      <c r="AV895" s="16"/>
    </row>
    <row r="896" spans="3:48" ht="12.75">
      <c r="C896" s="16"/>
      <c r="E896" s="16"/>
      <c r="G896" s="16"/>
      <c r="I896" s="16"/>
      <c r="K896" s="16"/>
      <c r="M896" s="16"/>
      <c r="O896" s="16"/>
      <c r="Q896" s="16"/>
      <c r="R896" s="16"/>
      <c r="T896" s="16"/>
      <c r="V896" s="16"/>
      <c r="X896" s="16"/>
      <c r="Z896" s="16"/>
      <c r="AB896" s="16"/>
      <c r="AD896" s="16"/>
      <c r="AF896" s="16"/>
      <c r="AH896" s="16"/>
      <c r="AJ896" s="16"/>
      <c r="AL896" s="16"/>
      <c r="AN896" s="16"/>
      <c r="AP896" s="16"/>
      <c r="AR896" s="16"/>
      <c r="AT896" s="16"/>
      <c r="AV896" s="16"/>
    </row>
    <row r="897" spans="3:48" ht="12.75">
      <c r="C897" s="16"/>
      <c r="E897" s="16"/>
      <c r="G897" s="16"/>
      <c r="I897" s="16"/>
      <c r="K897" s="16"/>
      <c r="M897" s="16"/>
      <c r="O897" s="16"/>
      <c r="Q897" s="16"/>
      <c r="R897" s="16"/>
      <c r="T897" s="16"/>
      <c r="V897" s="16"/>
      <c r="X897" s="16"/>
      <c r="Z897" s="16"/>
      <c r="AB897" s="16"/>
      <c r="AD897" s="16"/>
      <c r="AF897" s="16"/>
      <c r="AH897" s="16"/>
      <c r="AJ897" s="16"/>
      <c r="AL897" s="16"/>
      <c r="AN897" s="16"/>
      <c r="AP897" s="16"/>
      <c r="AR897" s="16"/>
      <c r="AT897" s="16"/>
      <c r="AV897" s="16"/>
    </row>
    <row r="898" spans="3:48" ht="12.75">
      <c r="C898" s="16"/>
      <c r="E898" s="16"/>
      <c r="G898" s="16"/>
      <c r="I898" s="16"/>
      <c r="K898" s="16"/>
      <c r="M898" s="16"/>
      <c r="O898" s="16"/>
      <c r="Q898" s="16"/>
      <c r="R898" s="16"/>
      <c r="T898" s="16"/>
      <c r="V898" s="16"/>
      <c r="X898" s="16"/>
      <c r="Z898" s="16"/>
      <c r="AB898" s="16"/>
      <c r="AD898" s="16"/>
      <c r="AF898" s="16"/>
      <c r="AH898" s="16"/>
      <c r="AJ898" s="16"/>
      <c r="AL898" s="16"/>
      <c r="AN898" s="16"/>
      <c r="AP898" s="16"/>
      <c r="AR898" s="16"/>
      <c r="AT898" s="16"/>
      <c r="AV898" s="16"/>
    </row>
    <row r="899" spans="3:48" ht="12.75">
      <c r="C899" s="16"/>
      <c r="E899" s="16"/>
      <c r="G899" s="16"/>
      <c r="I899" s="16"/>
      <c r="K899" s="16"/>
      <c r="M899" s="16"/>
      <c r="O899" s="16"/>
      <c r="Q899" s="16"/>
      <c r="R899" s="16"/>
      <c r="T899" s="16"/>
      <c r="V899" s="16"/>
      <c r="X899" s="16"/>
      <c r="Z899" s="16"/>
      <c r="AB899" s="16"/>
      <c r="AD899" s="16"/>
      <c r="AF899" s="16"/>
      <c r="AH899" s="16"/>
      <c r="AJ899" s="16"/>
      <c r="AL899" s="16"/>
      <c r="AN899" s="16"/>
      <c r="AP899" s="16"/>
      <c r="AR899" s="16"/>
      <c r="AT899" s="16"/>
      <c r="AV899" s="16"/>
    </row>
    <row r="900" spans="3:48" ht="12.75">
      <c r="C900" s="16"/>
      <c r="E900" s="16"/>
      <c r="G900" s="16"/>
      <c r="I900" s="16"/>
      <c r="K900" s="16"/>
      <c r="M900" s="16"/>
      <c r="O900" s="16"/>
      <c r="Q900" s="16"/>
      <c r="R900" s="16"/>
      <c r="T900" s="16"/>
      <c r="V900" s="16"/>
      <c r="X900" s="16"/>
      <c r="Z900" s="16"/>
      <c r="AB900" s="16"/>
      <c r="AD900" s="16"/>
      <c r="AF900" s="16"/>
      <c r="AH900" s="16"/>
      <c r="AJ900" s="16"/>
      <c r="AL900" s="16"/>
      <c r="AN900" s="16"/>
      <c r="AP900" s="16"/>
      <c r="AR900" s="16"/>
      <c r="AT900" s="16"/>
      <c r="AV900" s="16"/>
    </row>
    <row r="901" spans="3:48" ht="12.75">
      <c r="C901" s="16"/>
      <c r="E901" s="16"/>
      <c r="G901" s="16"/>
      <c r="I901" s="16"/>
      <c r="K901" s="16"/>
      <c r="M901" s="16"/>
      <c r="O901" s="16"/>
      <c r="Q901" s="16"/>
      <c r="R901" s="16"/>
      <c r="T901" s="16"/>
      <c r="V901" s="16"/>
      <c r="X901" s="16"/>
      <c r="Z901" s="16"/>
      <c r="AB901" s="16"/>
      <c r="AD901" s="16"/>
      <c r="AF901" s="16"/>
      <c r="AH901" s="16"/>
      <c r="AJ901" s="16"/>
      <c r="AL901" s="16"/>
      <c r="AN901" s="16"/>
      <c r="AP901" s="16"/>
      <c r="AR901" s="16"/>
      <c r="AT901" s="16"/>
      <c r="AV901" s="16"/>
    </row>
    <row r="902" spans="3:48" ht="12.75">
      <c r="C902" s="16"/>
      <c r="E902" s="16"/>
      <c r="G902" s="16"/>
      <c r="I902" s="16"/>
      <c r="K902" s="16"/>
      <c r="M902" s="16"/>
      <c r="O902" s="16"/>
      <c r="Q902" s="16"/>
      <c r="R902" s="16"/>
      <c r="T902" s="16"/>
      <c r="V902" s="16"/>
      <c r="X902" s="16"/>
      <c r="Z902" s="16"/>
      <c r="AB902" s="16"/>
      <c r="AD902" s="16"/>
      <c r="AF902" s="16"/>
      <c r="AH902" s="16"/>
      <c r="AJ902" s="16"/>
      <c r="AL902" s="16"/>
      <c r="AN902" s="16"/>
      <c r="AP902" s="16"/>
      <c r="AR902" s="16"/>
      <c r="AT902" s="16"/>
      <c r="AV902" s="16"/>
    </row>
    <row r="903" spans="3:48" ht="12.75">
      <c r="C903" s="16"/>
      <c r="E903" s="16"/>
      <c r="G903" s="16"/>
      <c r="I903" s="16"/>
      <c r="K903" s="16"/>
      <c r="M903" s="16"/>
      <c r="O903" s="16"/>
      <c r="Q903" s="16"/>
      <c r="R903" s="16"/>
      <c r="T903" s="16"/>
      <c r="V903" s="16"/>
      <c r="X903" s="16"/>
      <c r="Z903" s="16"/>
      <c r="AB903" s="16"/>
      <c r="AD903" s="16"/>
      <c r="AF903" s="16"/>
      <c r="AH903" s="16"/>
      <c r="AJ903" s="16"/>
      <c r="AL903" s="16"/>
      <c r="AN903" s="16"/>
      <c r="AP903" s="16"/>
      <c r="AR903" s="16"/>
      <c r="AT903" s="16"/>
      <c r="AV903" s="16"/>
    </row>
    <row r="904" spans="3:48" ht="12.75">
      <c r="C904" s="16"/>
      <c r="E904" s="16"/>
      <c r="G904" s="16"/>
      <c r="I904" s="16"/>
      <c r="K904" s="16"/>
      <c r="M904" s="16"/>
      <c r="O904" s="16"/>
      <c r="Q904" s="16"/>
      <c r="R904" s="16"/>
      <c r="T904" s="16"/>
      <c r="V904" s="16"/>
      <c r="X904" s="16"/>
      <c r="Z904" s="16"/>
      <c r="AB904" s="16"/>
      <c r="AD904" s="16"/>
      <c r="AF904" s="16"/>
      <c r="AH904" s="16"/>
      <c r="AJ904" s="16"/>
      <c r="AL904" s="16"/>
      <c r="AN904" s="16"/>
      <c r="AP904" s="16"/>
      <c r="AR904" s="16"/>
      <c r="AT904" s="16"/>
      <c r="AV904" s="16"/>
    </row>
    <row r="905" spans="3:48" ht="12.75">
      <c r="C905" s="16"/>
      <c r="E905" s="16"/>
      <c r="G905" s="16"/>
      <c r="I905" s="16"/>
      <c r="K905" s="16"/>
      <c r="M905" s="16"/>
      <c r="O905" s="16"/>
      <c r="Q905" s="16"/>
      <c r="R905" s="16"/>
      <c r="T905" s="16"/>
      <c r="V905" s="16"/>
      <c r="X905" s="16"/>
      <c r="Z905" s="16"/>
      <c r="AB905" s="16"/>
      <c r="AD905" s="16"/>
      <c r="AF905" s="16"/>
      <c r="AH905" s="16"/>
      <c r="AJ905" s="16"/>
      <c r="AL905" s="16"/>
      <c r="AN905" s="16"/>
      <c r="AP905" s="16"/>
      <c r="AR905" s="16"/>
      <c r="AT905" s="16"/>
      <c r="AV905" s="16"/>
    </row>
    <row r="906" spans="3:48" ht="12.75">
      <c r="C906" s="16"/>
      <c r="E906" s="16"/>
      <c r="G906" s="16"/>
      <c r="I906" s="16"/>
      <c r="K906" s="16"/>
      <c r="M906" s="16"/>
      <c r="O906" s="16"/>
      <c r="Q906" s="16"/>
      <c r="R906" s="16"/>
      <c r="T906" s="16"/>
      <c r="V906" s="16"/>
      <c r="X906" s="16"/>
      <c r="Z906" s="16"/>
      <c r="AB906" s="16"/>
      <c r="AD906" s="16"/>
      <c r="AF906" s="16"/>
      <c r="AH906" s="16"/>
      <c r="AJ906" s="16"/>
      <c r="AL906" s="16"/>
      <c r="AN906" s="16"/>
      <c r="AP906" s="16"/>
      <c r="AR906" s="16"/>
      <c r="AT906" s="16"/>
      <c r="AV906" s="16"/>
    </row>
    <row r="907" spans="3:48" ht="12.75">
      <c r="C907" s="16"/>
      <c r="E907" s="16"/>
      <c r="G907" s="16"/>
      <c r="I907" s="16"/>
      <c r="K907" s="16"/>
      <c r="M907" s="16"/>
      <c r="O907" s="16"/>
      <c r="Q907" s="16"/>
      <c r="R907" s="16"/>
      <c r="T907" s="16"/>
      <c r="V907" s="16"/>
      <c r="X907" s="16"/>
      <c r="Z907" s="16"/>
      <c r="AB907" s="16"/>
      <c r="AD907" s="16"/>
      <c r="AF907" s="16"/>
      <c r="AH907" s="16"/>
      <c r="AJ907" s="16"/>
      <c r="AL907" s="16"/>
      <c r="AN907" s="16"/>
      <c r="AP907" s="16"/>
      <c r="AR907" s="16"/>
      <c r="AT907" s="16"/>
      <c r="AV907" s="16"/>
    </row>
    <row r="908" spans="3:48" ht="12.75">
      <c r="C908" s="16"/>
      <c r="E908" s="16"/>
      <c r="G908" s="16"/>
      <c r="I908" s="16"/>
      <c r="K908" s="16"/>
      <c r="M908" s="16"/>
      <c r="O908" s="16"/>
      <c r="Q908" s="16"/>
      <c r="R908" s="16"/>
      <c r="T908" s="16"/>
      <c r="V908" s="16"/>
      <c r="X908" s="16"/>
      <c r="Z908" s="16"/>
      <c r="AB908" s="16"/>
      <c r="AD908" s="16"/>
      <c r="AF908" s="16"/>
      <c r="AH908" s="16"/>
      <c r="AJ908" s="16"/>
      <c r="AL908" s="16"/>
      <c r="AN908" s="16"/>
      <c r="AP908" s="16"/>
      <c r="AR908" s="16"/>
      <c r="AT908" s="16"/>
      <c r="AV908" s="16"/>
    </row>
    <row r="909" spans="3:48" ht="12.75">
      <c r="C909" s="16"/>
      <c r="E909" s="16"/>
      <c r="G909" s="16"/>
      <c r="I909" s="16"/>
      <c r="K909" s="16"/>
      <c r="M909" s="16"/>
      <c r="O909" s="16"/>
      <c r="Q909" s="16"/>
      <c r="R909" s="16"/>
      <c r="T909" s="16"/>
      <c r="V909" s="16"/>
      <c r="X909" s="16"/>
      <c r="Z909" s="16"/>
      <c r="AB909" s="16"/>
      <c r="AD909" s="16"/>
      <c r="AF909" s="16"/>
      <c r="AH909" s="16"/>
      <c r="AJ909" s="16"/>
      <c r="AL909" s="16"/>
      <c r="AN909" s="16"/>
      <c r="AP909" s="16"/>
      <c r="AR909" s="16"/>
      <c r="AT909" s="16"/>
      <c r="AV909" s="16"/>
    </row>
    <row r="910" spans="3:48" ht="12.75">
      <c r="C910" s="16"/>
      <c r="E910" s="16"/>
      <c r="G910" s="16"/>
      <c r="I910" s="16"/>
      <c r="K910" s="16"/>
      <c r="M910" s="16"/>
      <c r="O910" s="16"/>
      <c r="Q910" s="16"/>
      <c r="R910" s="16"/>
      <c r="T910" s="16"/>
      <c r="V910" s="16"/>
      <c r="X910" s="16"/>
      <c r="Z910" s="16"/>
      <c r="AB910" s="16"/>
      <c r="AD910" s="16"/>
      <c r="AF910" s="16"/>
      <c r="AH910" s="16"/>
      <c r="AJ910" s="16"/>
      <c r="AL910" s="16"/>
      <c r="AN910" s="16"/>
      <c r="AP910" s="16"/>
      <c r="AR910" s="16"/>
      <c r="AT910" s="16"/>
      <c r="AV910" s="16"/>
    </row>
    <row r="911" spans="3:48" ht="12.75">
      <c r="C911" s="16"/>
      <c r="E911" s="16"/>
      <c r="G911" s="16"/>
      <c r="I911" s="16"/>
      <c r="K911" s="16"/>
      <c r="M911" s="16"/>
      <c r="O911" s="16"/>
      <c r="Q911" s="16"/>
      <c r="R911" s="16"/>
      <c r="T911" s="16"/>
      <c r="V911" s="16"/>
      <c r="X911" s="16"/>
      <c r="Z911" s="16"/>
      <c r="AB911" s="16"/>
      <c r="AD911" s="16"/>
      <c r="AF911" s="16"/>
      <c r="AH911" s="16"/>
      <c r="AJ911" s="16"/>
      <c r="AL911" s="16"/>
      <c r="AN911" s="16"/>
      <c r="AP911" s="16"/>
      <c r="AR911" s="16"/>
      <c r="AT911" s="16"/>
      <c r="AV911" s="16"/>
    </row>
    <row r="912" spans="3:48" ht="12.75">
      <c r="C912" s="16"/>
      <c r="E912" s="16"/>
      <c r="G912" s="16"/>
      <c r="I912" s="16"/>
      <c r="K912" s="16"/>
      <c r="M912" s="16"/>
      <c r="O912" s="16"/>
      <c r="Q912" s="16"/>
      <c r="R912" s="16"/>
      <c r="T912" s="16"/>
      <c r="V912" s="16"/>
      <c r="X912" s="16"/>
      <c r="Z912" s="16"/>
      <c r="AB912" s="16"/>
      <c r="AD912" s="16"/>
      <c r="AF912" s="16"/>
      <c r="AH912" s="16"/>
      <c r="AJ912" s="16"/>
      <c r="AL912" s="16"/>
      <c r="AN912" s="16"/>
      <c r="AP912" s="16"/>
      <c r="AR912" s="16"/>
      <c r="AT912" s="16"/>
      <c r="AV912" s="16"/>
    </row>
    <row r="913" spans="3:48" ht="12.75">
      <c r="C913" s="16"/>
      <c r="E913" s="16"/>
      <c r="G913" s="16"/>
      <c r="I913" s="16"/>
      <c r="K913" s="16"/>
      <c r="M913" s="16"/>
      <c r="O913" s="16"/>
      <c r="Q913" s="16"/>
      <c r="R913" s="16"/>
      <c r="T913" s="16"/>
      <c r="V913" s="16"/>
      <c r="X913" s="16"/>
      <c r="Z913" s="16"/>
      <c r="AB913" s="16"/>
      <c r="AD913" s="16"/>
      <c r="AF913" s="16"/>
      <c r="AH913" s="16"/>
      <c r="AJ913" s="16"/>
      <c r="AL913" s="16"/>
      <c r="AN913" s="16"/>
      <c r="AP913" s="16"/>
      <c r="AR913" s="16"/>
      <c r="AT913" s="16"/>
      <c r="AV913" s="16"/>
    </row>
    <row r="914" spans="3:48" ht="12.75">
      <c r="C914" s="16"/>
      <c r="E914" s="16"/>
      <c r="G914" s="16"/>
      <c r="I914" s="16"/>
      <c r="K914" s="16"/>
      <c r="M914" s="16"/>
      <c r="O914" s="16"/>
      <c r="Q914" s="16"/>
      <c r="R914" s="16"/>
      <c r="T914" s="16"/>
      <c r="V914" s="16"/>
      <c r="X914" s="16"/>
      <c r="Z914" s="16"/>
      <c r="AB914" s="16"/>
      <c r="AD914" s="16"/>
      <c r="AF914" s="16"/>
      <c r="AH914" s="16"/>
      <c r="AJ914" s="16"/>
      <c r="AL914" s="16"/>
      <c r="AN914" s="16"/>
      <c r="AP914" s="16"/>
      <c r="AR914" s="16"/>
      <c r="AT914" s="16"/>
      <c r="AV914" s="16"/>
    </row>
    <row r="915" spans="3:48" ht="12.75">
      <c r="C915" s="16"/>
      <c r="E915" s="16"/>
      <c r="G915" s="16"/>
      <c r="I915" s="16"/>
      <c r="K915" s="16"/>
      <c r="M915" s="16"/>
      <c r="O915" s="16"/>
      <c r="Q915" s="16"/>
      <c r="R915" s="16"/>
      <c r="T915" s="16"/>
      <c r="V915" s="16"/>
      <c r="X915" s="16"/>
      <c r="Z915" s="16"/>
      <c r="AB915" s="16"/>
      <c r="AD915" s="16"/>
      <c r="AF915" s="16"/>
      <c r="AH915" s="16"/>
      <c r="AJ915" s="16"/>
      <c r="AL915" s="16"/>
      <c r="AN915" s="16"/>
      <c r="AP915" s="16"/>
      <c r="AR915" s="16"/>
      <c r="AT915" s="16"/>
      <c r="AV915" s="16"/>
    </row>
    <row r="916" spans="3:48" ht="12.75">
      <c r="C916" s="16"/>
      <c r="E916" s="16"/>
      <c r="G916" s="16"/>
      <c r="I916" s="16"/>
      <c r="K916" s="16"/>
      <c r="M916" s="16"/>
      <c r="O916" s="16"/>
      <c r="Q916" s="16"/>
      <c r="R916" s="16"/>
      <c r="T916" s="16"/>
      <c r="V916" s="16"/>
      <c r="X916" s="16"/>
      <c r="Z916" s="16"/>
      <c r="AB916" s="16"/>
      <c r="AD916" s="16"/>
      <c r="AF916" s="16"/>
      <c r="AH916" s="16"/>
      <c r="AJ916" s="16"/>
      <c r="AL916" s="16"/>
      <c r="AN916" s="16"/>
      <c r="AP916" s="16"/>
      <c r="AR916" s="16"/>
      <c r="AT916" s="16"/>
      <c r="AV916" s="16"/>
    </row>
    <row r="917" spans="3:48" ht="12.75">
      <c r="C917" s="16"/>
      <c r="E917" s="16"/>
      <c r="G917" s="16"/>
      <c r="I917" s="16"/>
      <c r="K917" s="16"/>
      <c r="M917" s="16"/>
      <c r="O917" s="16"/>
      <c r="Q917" s="16"/>
      <c r="R917" s="16"/>
      <c r="T917" s="16"/>
      <c r="V917" s="16"/>
      <c r="X917" s="16"/>
      <c r="Z917" s="16"/>
      <c r="AB917" s="16"/>
      <c r="AD917" s="16"/>
      <c r="AF917" s="16"/>
      <c r="AH917" s="16"/>
      <c r="AJ917" s="16"/>
      <c r="AL917" s="16"/>
      <c r="AN917" s="16"/>
      <c r="AP917" s="16"/>
      <c r="AR917" s="16"/>
      <c r="AT917" s="16"/>
      <c r="AV917" s="16"/>
    </row>
    <row r="918" spans="3:48" ht="12.75">
      <c r="C918" s="16"/>
      <c r="E918" s="16"/>
      <c r="G918" s="16"/>
      <c r="I918" s="16"/>
      <c r="K918" s="16"/>
      <c r="M918" s="16"/>
      <c r="O918" s="16"/>
      <c r="Q918" s="16"/>
      <c r="R918" s="16"/>
      <c r="T918" s="16"/>
      <c r="V918" s="16"/>
      <c r="X918" s="16"/>
      <c r="Z918" s="16"/>
      <c r="AB918" s="16"/>
      <c r="AD918" s="16"/>
      <c r="AF918" s="16"/>
      <c r="AH918" s="16"/>
      <c r="AJ918" s="16"/>
      <c r="AL918" s="16"/>
      <c r="AN918" s="16"/>
      <c r="AP918" s="16"/>
      <c r="AR918" s="16"/>
      <c r="AT918" s="16"/>
      <c r="AV918" s="16"/>
    </row>
    <row r="919" spans="3:48" ht="12.75">
      <c r="C919" s="16"/>
      <c r="E919" s="16"/>
      <c r="G919" s="16"/>
      <c r="I919" s="16"/>
      <c r="K919" s="16"/>
      <c r="M919" s="16"/>
      <c r="O919" s="16"/>
      <c r="Q919" s="16"/>
      <c r="R919" s="16"/>
      <c r="T919" s="16"/>
      <c r="V919" s="16"/>
      <c r="X919" s="16"/>
      <c r="Z919" s="16"/>
      <c r="AB919" s="16"/>
      <c r="AD919" s="16"/>
      <c r="AF919" s="16"/>
      <c r="AH919" s="16"/>
      <c r="AJ919" s="16"/>
      <c r="AL919" s="16"/>
      <c r="AN919" s="16"/>
      <c r="AP919" s="16"/>
      <c r="AR919" s="16"/>
      <c r="AT919" s="16"/>
      <c r="AV919" s="16"/>
    </row>
    <row r="920" spans="3:48" ht="12.75">
      <c r="C920" s="16"/>
      <c r="E920" s="16"/>
      <c r="G920" s="16"/>
      <c r="I920" s="16"/>
      <c r="K920" s="16"/>
      <c r="M920" s="16"/>
      <c r="O920" s="16"/>
      <c r="Q920" s="16"/>
      <c r="R920" s="16"/>
      <c r="T920" s="16"/>
      <c r="V920" s="16"/>
      <c r="X920" s="16"/>
      <c r="Z920" s="16"/>
      <c r="AB920" s="16"/>
      <c r="AD920" s="16"/>
      <c r="AF920" s="16"/>
      <c r="AH920" s="16"/>
      <c r="AJ920" s="16"/>
      <c r="AL920" s="16"/>
      <c r="AN920" s="16"/>
      <c r="AP920" s="16"/>
      <c r="AR920" s="16"/>
      <c r="AT920" s="16"/>
      <c r="AV920" s="16"/>
    </row>
    <row r="921" spans="3:48" ht="12.75">
      <c r="C921" s="16"/>
      <c r="E921" s="16"/>
      <c r="G921" s="16"/>
      <c r="I921" s="16"/>
      <c r="K921" s="16"/>
      <c r="M921" s="16"/>
      <c r="O921" s="16"/>
      <c r="Q921" s="16"/>
      <c r="R921" s="16"/>
      <c r="T921" s="16"/>
      <c r="V921" s="16"/>
      <c r="X921" s="16"/>
      <c r="Z921" s="16"/>
      <c r="AB921" s="16"/>
      <c r="AD921" s="16"/>
      <c r="AF921" s="16"/>
      <c r="AH921" s="16"/>
      <c r="AJ921" s="16"/>
      <c r="AL921" s="16"/>
      <c r="AN921" s="16"/>
      <c r="AP921" s="16"/>
      <c r="AR921" s="16"/>
      <c r="AT921" s="16"/>
      <c r="AV921" s="16"/>
    </row>
    <row r="922" spans="3:48" ht="12.75">
      <c r="C922" s="16"/>
      <c r="E922" s="16"/>
      <c r="G922" s="16"/>
      <c r="I922" s="16"/>
      <c r="K922" s="16"/>
      <c r="M922" s="16"/>
      <c r="O922" s="16"/>
      <c r="Q922" s="16"/>
      <c r="R922" s="16"/>
      <c r="T922" s="16"/>
      <c r="V922" s="16"/>
      <c r="X922" s="16"/>
      <c r="Z922" s="16"/>
      <c r="AB922" s="16"/>
      <c r="AD922" s="16"/>
      <c r="AF922" s="16"/>
      <c r="AH922" s="16"/>
      <c r="AJ922" s="16"/>
      <c r="AL922" s="16"/>
      <c r="AN922" s="16"/>
      <c r="AP922" s="16"/>
      <c r="AR922" s="16"/>
      <c r="AT922" s="16"/>
      <c r="AV922" s="16"/>
    </row>
    <row r="923" spans="3:48" ht="12.75">
      <c r="C923" s="16"/>
      <c r="E923" s="16"/>
      <c r="G923" s="16"/>
      <c r="I923" s="16"/>
      <c r="K923" s="16"/>
      <c r="M923" s="16"/>
      <c r="O923" s="16"/>
      <c r="Q923" s="16"/>
      <c r="R923" s="16"/>
      <c r="T923" s="16"/>
      <c r="V923" s="16"/>
      <c r="X923" s="16"/>
      <c r="Z923" s="16"/>
      <c r="AB923" s="16"/>
      <c r="AD923" s="16"/>
      <c r="AF923" s="16"/>
      <c r="AH923" s="16"/>
      <c r="AJ923" s="16"/>
      <c r="AL923" s="16"/>
      <c r="AN923" s="16"/>
      <c r="AP923" s="16"/>
      <c r="AR923" s="16"/>
      <c r="AT923" s="16"/>
      <c r="AV923" s="16"/>
    </row>
    <row r="924" spans="3:48" ht="12.75">
      <c r="C924" s="16"/>
      <c r="E924" s="16"/>
      <c r="G924" s="16"/>
      <c r="I924" s="16"/>
      <c r="K924" s="16"/>
      <c r="M924" s="16"/>
      <c r="O924" s="16"/>
      <c r="Q924" s="16"/>
      <c r="R924" s="16"/>
      <c r="T924" s="16"/>
      <c r="V924" s="16"/>
      <c r="X924" s="16"/>
      <c r="Z924" s="16"/>
      <c r="AB924" s="16"/>
      <c r="AD924" s="16"/>
      <c r="AF924" s="16"/>
      <c r="AH924" s="16"/>
      <c r="AJ924" s="16"/>
      <c r="AL924" s="16"/>
      <c r="AN924" s="16"/>
      <c r="AP924" s="16"/>
      <c r="AR924" s="16"/>
      <c r="AT924" s="16"/>
      <c r="AV924" s="16"/>
    </row>
    <row r="925" spans="3:48" ht="12.75">
      <c r="C925" s="16"/>
      <c r="E925" s="16"/>
      <c r="G925" s="16"/>
      <c r="I925" s="16"/>
      <c r="K925" s="16"/>
      <c r="M925" s="16"/>
      <c r="O925" s="16"/>
      <c r="Q925" s="16"/>
      <c r="R925" s="16"/>
      <c r="T925" s="16"/>
      <c r="V925" s="16"/>
      <c r="X925" s="16"/>
      <c r="Z925" s="16"/>
      <c r="AB925" s="16"/>
      <c r="AD925" s="16"/>
      <c r="AF925" s="16"/>
      <c r="AH925" s="16"/>
      <c r="AJ925" s="16"/>
      <c r="AL925" s="16"/>
      <c r="AN925" s="16"/>
      <c r="AP925" s="16"/>
      <c r="AR925" s="16"/>
      <c r="AT925" s="16"/>
      <c r="AV925" s="16"/>
    </row>
    <row r="926" spans="3:48" ht="12.75">
      <c r="C926" s="16"/>
      <c r="E926" s="16"/>
      <c r="G926" s="16"/>
      <c r="I926" s="16"/>
      <c r="K926" s="16"/>
      <c r="M926" s="16"/>
      <c r="O926" s="16"/>
      <c r="Q926" s="16"/>
      <c r="R926" s="16"/>
      <c r="T926" s="16"/>
      <c r="V926" s="16"/>
      <c r="X926" s="16"/>
      <c r="Z926" s="16"/>
      <c r="AB926" s="16"/>
      <c r="AD926" s="16"/>
      <c r="AF926" s="16"/>
      <c r="AH926" s="16"/>
      <c r="AJ926" s="16"/>
      <c r="AL926" s="16"/>
      <c r="AN926" s="16"/>
      <c r="AP926" s="16"/>
      <c r="AR926" s="16"/>
      <c r="AT926" s="16"/>
      <c r="AV926" s="16"/>
    </row>
    <row r="927" spans="3:48" ht="12.75">
      <c r="C927" s="16"/>
      <c r="E927" s="16"/>
      <c r="G927" s="16"/>
      <c r="I927" s="16"/>
      <c r="K927" s="16"/>
      <c r="M927" s="16"/>
      <c r="O927" s="16"/>
      <c r="Q927" s="16"/>
      <c r="R927" s="16"/>
      <c r="T927" s="16"/>
      <c r="V927" s="16"/>
      <c r="X927" s="16"/>
      <c r="Z927" s="16"/>
      <c r="AB927" s="16"/>
      <c r="AD927" s="16"/>
      <c r="AF927" s="16"/>
      <c r="AH927" s="16"/>
      <c r="AJ927" s="16"/>
      <c r="AL927" s="16"/>
      <c r="AN927" s="16"/>
      <c r="AP927" s="16"/>
      <c r="AR927" s="16"/>
      <c r="AT927" s="16"/>
      <c r="AV927" s="16"/>
    </row>
    <row r="928" spans="3:48" ht="12.75">
      <c r="C928" s="16"/>
      <c r="E928" s="16"/>
      <c r="G928" s="16"/>
      <c r="I928" s="16"/>
      <c r="K928" s="16"/>
      <c r="M928" s="16"/>
      <c r="O928" s="16"/>
      <c r="Q928" s="16"/>
      <c r="R928" s="16"/>
      <c r="T928" s="16"/>
      <c r="V928" s="16"/>
      <c r="X928" s="16"/>
      <c r="Z928" s="16"/>
      <c r="AB928" s="16"/>
      <c r="AD928" s="16"/>
      <c r="AF928" s="16"/>
      <c r="AH928" s="16"/>
      <c r="AJ928" s="16"/>
      <c r="AL928" s="16"/>
      <c r="AN928" s="16"/>
      <c r="AP928" s="16"/>
      <c r="AR928" s="16"/>
      <c r="AT928" s="16"/>
      <c r="AV928" s="16"/>
    </row>
    <row r="929" spans="3:48" ht="12.75">
      <c r="C929" s="16"/>
      <c r="E929" s="16"/>
      <c r="G929" s="16"/>
      <c r="I929" s="16"/>
      <c r="K929" s="16"/>
      <c r="M929" s="16"/>
      <c r="O929" s="16"/>
      <c r="Q929" s="16"/>
      <c r="R929" s="16"/>
      <c r="T929" s="16"/>
      <c r="V929" s="16"/>
      <c r="X929" s="16"/>
      <c r="Z929" s="16"/>
      <c r="AB929" s="16"/>
      <c r="AD929" s="16"/>
      <c r="AF929" s="16"/>
      <c r="AH929" s="16"/>
      <c r="AJ929" s="16"/>
      <c r="AL929" s="16"/>
      <c r="AN929" s="16"/>
      <c r="AP929" s="16"/>
      <c r="AR929" s="16"/>
      <c r="AT929" s="16"/>
      <c r="AV929" s="16"/>
    </row>
    <row r="930" spans="3:48" ht="12.75">
      <c r="C930" s="16"/>
      <c r="E930" s="16"/>
      <c r="G930" s="16"/>
      <c r="I930" s="16"/>
      <c r="K930" s="16"/>
      <c r="M930" s="16"/>
      <c r="O930" s="16"/>
      <c r="Q930" s="16"/>
      <c r="R930" s="16"/>
      <c r="T930" s="16"/>
      <c r="V930" s="16"/>
      <c r="X930" s="16"/>
      <c r="Z930" s="16"/>
      <c r="AB930" s="16"/>
      <c r="AD930" s="16"/>
      <c r="AF930" s="16"/>
      <c r="AH930" s="16"/>
      <c r="AJ930" s="16"/>
      <c r="AL930" s="16"/>
      <c r="AN930" s="16"/>
      <c r="AP930" s="16"/>
      <c r="AR930" s="16"/>
      <c r="AT930" s="16"/>
      <c r="AV930" s="16"/>
    </row>
    <row r="931" spans="3:48" ht="12.75">
      <c r="C931" s="16"/>
      <c r="E931" s="16"/>
      <c r="G931" s="16"/>
      <c r="I931" s="16"/>
      <c r="K931" s="16"/>
      <c r="M931" s="16"/>
      <c r="O931" s="16"/>
      <c r="Q931" s="16"/>
      <c r="R931" s="16"/>
      <c r="T931" s="16"/>
      <c r="V931" s="16"/>
      <c r="X931" s="16"/>
      <c r="Z931" s="16"/>
      <c r="AB931" s="16"/>
      <c r="AD931" s="16"/>
      <c r="AF931" s="16"/>
      <c r="AH931" s="16"/>
      <c r="AJ931" s="16"/>
      <c r="AL931" s="16"/>
      <c r="AN931" s="16"/>
      <c r="AP931" s="16"/>
      <c r="AR931" s="16"/>
      <c r="AT931" s="16"/>
      <c r="AV931" s="16"/>
    </row>
    <row r="932" spans="3:48" ht="12.75">
      <c r="C932" s="16"/>
      <c r="E932" s="16"/>
      <c r="G932" s="16"/>
      <c r="I932" s="16"/>
      <c r="K932" s="16"/>
      <c r="M932" s="16"/>
      <c r="O932" s="16"/>
      <c r="Q932" s="16"/>
      <c r="R932" s="16"/>
      <c r="T932" s="16"/>
      <c r="V932" s="16"/>
      <c r="X932" s="16"/>
      <c r="Z932" s="16"/>
      <c r="AB932" s="16"/>
      <c r="AD932" s="16"/>
      <c r="AF932" s="16"/>
      <c r="AH932" s="16"/>
      <c r="AJ932" s="16"/>
      <c r="AL932" s="16"/>
      <c r="AN932" s="16"/>
      <c r="AP932" s="16"/>
      <c r="AR932" s="16"/>
      <c r="AT932" s="16"/>
      <c r="AV932" s="16"/>
    </row>
    <row r="933" spans="3:48" ht="12.75">
      <c r="C933" s="16"/>
      <c r="E933" s="16"/>
      <c r="G933" s="16"/>
      <c r="I933" s="16"/>
      <c r="K933" s="16"/>
      <c r="M933" s="16"/>
      <c r="O933" s="16"/>
      <c r="Q933" s="16"/>
      <c r="R933" s="16"/>
      <c r="T933" s="16"/>
      <c r="V933" s="16"/>
      <c r="X933" s="16"/>
      <c r="Z933" s="16"/>
      <c r="AB933" s="16"/>
      <c r="AD933" s="16"/>
      <c r="AF933" s="16"/>
      <c r="AH933" s="16"/>
      <c r="AJ933" s="16"/>
      <c r="AL933" s="16"/>
      <c r="AN933" s="16"/>
      <c r="AP933" s="16"/>
      <c r="AR933" s="16"/>
      <c r="AT933" s="16"/>
      <c r="AV933" s="16"/>
    </row>
    <row r="934" spans="3:48" ht="12.75">
      <c r="C934" s="16"/>
      <c r="E934" s="16"/>
      <c r="G934" s="16"/>
      <c r="I934" s="16"/>
      <c r="K934" s="16"/>
      <c r="M934" s="16"/>
      <c r="O934" s="16"/>
      <c r="Q934" s="16"/>
      <c r="R934" s="16"/>
      <c r="T934" s="16"/>
      <c r="V934" s="16"/>
      <c r="X934" s="16"/>
      <c r="Z934" s="16"/>
      <c r="AB934" s="16"/>
      <c r="AD934" s="16"/>
      <c r="AF934" s="16"/>
      <c r="AH934" s="16"/>
      <c r="AJ934" s="16"/>
      <c r="AL934" s="16"/>
      <c r="AN934" s="16"/>
      <c r="AP934" s="16"/>
      <c r="AR934" s="16"/>
      <c r="AT934" s="16"/>
      <c r="AV934" s="16"/>
    </row>
    <row r="935" spans="3:48" ht="12.75">
      <c r="C935" s="16"/>
      <c r="E935" s="16"/>
      <c r="G935" s="16"/>
      <c r="I935" s="16"/>
      <c r="K935" s="16"/>
      <c r="M935" s="16"/>
      <c r="O935" s="16"/>
      <c r="Q935" s="16"/>
      <c r="R935" s="16"/>
      <c r="T935" s="16"/>
      <c r="V935" s="16"/>
      <c r="X935" s="16"/>
      <c r="Z935" s="16"/>
      <c r="AB935" s="16"/>
      <c r="AD935" s="16"/>
      <c r="AF935" s="16"/>
      <c r="AH935" s="16"/>
      <c r="AJ935" s="16"/>
      <c r="AL935" s="16"/>
      <c r="AN935" s="16"/>
      <c r="AP935" s="16"/>
      <c r="AR935" s="16"/>
      <c r="AT935" s="16"/>
      <c r="AV935" s="16"/>
    </row>
    <row r="936" spans="3:48" ht="12.75">
      <c r="C936" s="16"/>
      <c r="E936" s="16"/>
      <c r="G936" s="16"/>
      <c r="I936" s="16"/>
      <c r="K936" s="16"/>
      <c r="M936" s="16"/>
      <c r="O936" s="16"/>
      <c r="Q936" s="16"/>
      <c r="R936" s="16"/>
      <c r="T936" s="16"/>
      <c r="V936" s="16"/>
      <c r="X936" s="16"/>
      <c r="Z936" s="16"/>
      <c r="AB936" s="16"/>
      <c r="AD936" s="16"/>
      <c r="AF936" s="16"/>
      <c r="AH936" s="16"/>
      <c r="AJ936" s="16"/>
      <c r="AL936" s="16"/>
      <c r="AN936" s="16"/>
      <c r="AP936" s="16"/>
      <c r="AR936" s="16"/>
      <c r="AT936" s="16"/>
      <c r="AV936" s="16"/>
    </row>
    <row r="937" spans="3:48" ht="12.75">
      <c r="C937" s="16"/>
      <c r="E937" s="16"/>
      <c r="G937" s="16"/>
      <c r="I937" s="16"/>
      <c r="K937" s="16"/>
      <c r="M937" s="16"/>
      <c r="O937" s="16"/>
      <c r="Q937" s="16"/>
      <c r="R937" s="16"/>
      <c r="T937" s="16"/>
      <c r="V937" s="16"/>
      <c r="X937" s="16"/>
      <c r="Z937" s="16"/>
      <c r="AB937" s="16"/>
      <c r="AD937" s="16"/>
      <c r="AF937" s="16"/>
      <c r="AH937" s="16"/>
      <c r="AJ937" s="16"/>
      <c r="AL937" s="16"/>
      <c r="AN937" s="16"/>
      <c r="AP937" s="16"/>
      <c r="AR937" s="16"/>
      <c r="AT937" s="16"/>
      <c r="AV937" s="16"/>
    </row>
    <row r="938" spans="3:48" ht="12.75">
      <c r="C938" s="16"/>
      <c r="E938" s="16"/>
      <c r="G938" s="16"/>
      <c r="I938" s="16"/>
      <c r="K938" s="16"/>
      <c r="M938" s="16"/>
      <c r="O938" s="16"/>
      <c r="Q938" s="16"/>
      <c r="R938" s="16"/>
      <c r="T938" s="16"/>
      <c r="V938" s="16"/>
      <c r="X938" s="16"/>
      <c r="Z938" s="16"/>
      <c r="AB938" s="16"/>
      <c r="AD938" s="16"/>
      <c r="AF938" s="16"/>
      <c r="AH938" s="16"/>
      <c r="AJ938" s="16"/>
      <c r="AL938" s="16"/>
      <c r="AN938" s="16"/>
      <c r="AP938" s="16"/>
      <c r="AR938" s="16"/>
      <c r="AT938" s="16"/>
      <c r="AV938" s="16"/>
    </row>
    <row r="939" spans="3:48" ht="12.75">
      <c r="C939" s="16"/>
      <c r="E939" s="16"/>
      <c r="G939" s="16"/>
      <c r="I939" s="16"/>
      <c r="K939" s="16"/>
      <c r="M939" s="16"/>
      <c r="O939" s="16"/>
      <c r="Q939" s="16"/>
      <c r="R939" s="16"/>
      <c r="T939" s="16"/>
      <c r="V939" s="16"/>
      <c r="X939" s="16"/>
      <c r="Z939" s="16"/>
      <c r="AB939" s="16"/>
      <c r="AD939" s="16"/>
      <c r="AF939" s="16"/>
      <c r="AH939" s="16"/>
      <c r="AJ939" s="16"/>
      <c r="AL939" s="16"/>
      <c r="AN939" s="16"/>
      <c r="AP939" s="16"/>
      <c r="AR939" s="16"/>
      <c r="AT939" s="16"/>
      <c r="AV939" s="16"/>
    </row>
    <row r="940" spans="3:48" ht="12.75">
      <c r="C940" s="16"/>
      <c r="E940" s="16"/>
      <c r="G940" s="16"/>
      <c r="I940" s="16"/>
      <c r="K940" s="16"/>
      <c r="M940" s="16"/>
      <c r="O940" s="16"/>
      <c r="Q940" s="16"/>
      <c r="R940" s="16"/>
      <c r="T940" s="16"/>
      <c r="V940" s="16"/>
      <c r="X940" s="16"/>
      <c r="Z940" s="16"/>
      <c r="AB940" s="16"/>
      <c r="AD940" s="16"/>
      <c r="AF940" s="16"/>
      <c r="AH940" s="16"/>
      <c r="AJ940" s="16"/>
      <c r="AL940" s="16"/>
      <c r="AN940" s="16"/>
      <c r="AP940" s="16"/>
      <c r="AR940" s="16"/>
      <c r="AT940" s="16"/>
      <c r="AV940" s="16"/>
    </row>
    <row r="941" spans="3:48" ht="12.75">
      <c r="C941" s="16"/>
      <c r="E941" s="16"/>
      <c r="G941" s="16"/>
      <c r="I941" s="16"/>
      <c r="K941" s="16"/>
      <c r="M941" s="16"/>
      <c r="O941" s="16"/>
      <c r="Q941" s="16"/>
      <c r="R941" s="16"/>
      <c r="T941" s="16"/>
      <c r="V941" s="16"/>
      <c r="X941" s="16"/>
      <c r="Z941" s="16"/>
      <c r="AB941" s="16"/>
      <c r="AD941" s="16"/>
      <c r="AF941" s="16"/>
      <c r="AH941" s="16"/>
      <c r="AJ941" s="16"/>
      <c r="AL941" s="16"/>
      <c r="AN941" s="16"/>
      <c r="AP941" s="16"/>
      <c r="AR941" s="16"/>
      <c r="AT941" s="16"/>
      <c r="AV941" s="16"/>
    </row>
    <row r="942" spans="3:48" ht="12.75">
      <c r="C942" s="16"/>
      <c r="E942" s="16"/>
      <c r="G942" s="16"/>
      <c r="I942" s="16"/>
      <c r="K942" s="16"/>
      <c r="M942" s="16"/>
      <c r="O942" s="16"/>
      <c r="Q942" s="16"/>
      <c r="R942" s="16"/>
      <c r="T942" s="16"/>
      <c r="V942" s="16"/>
      <c r="X942" s="16"/>
      <c r="Z942" s="16"/>
      <c r="AB942" s="16"/>
      <c r="AD942" s="16"/>
      <c r="AF942" s="16"/>
      <c r="AH942" s="16"/>
      <c r="AJ942" s="16"/>
      <c r="AL942" s="16"/>
      <c r="AN942" s="16"/>
      <c r="AP942" s="16"/>
      <c r="AR942" s="16"/>
      <c r="AT942" s="16"/>
      <c r="AV942" s="16"/>
    </row>
    <row r="943" spans="3:48" ht="12.75">
      <c r="C943" s="16"/>
      <c r="E943" s="16"/>
      <c r="G943" s="16"/>
      <c r="I943" s="16"/>
      <c r="K943" s="16"/>
      <c r="M943" s="16"/>
      <c r="O943" s="16"/>
      <c r="Q943" s="16"/>
      <c r="R943" s="16"/>
      <c r="T943" s="16"/>
      <c r="V943" s="16"/>
      <c r="X943" s="16"/>
      <c r="Z943" s="16"/>
      <c r="AB943" s="16"/>
      <c r="AD943" s="16"/>
      <c r="AF943" s="16"/>
      <c r="AH943" s="16"/>
      <c r="AJ943" s="16"/>
      <c r="AL943" s="16"/>
      <c r="AN943" s="16"/>
      <c r="AP943" s="16"/>
      <c r="AR943" s="16"/>
      <c r="AT943" s="16"/>
      <c r="AV943" s="16"/>
    </row>
    <row r="944" spans="3:48" ht="12.75">
      <c r="C944" s="16"/>
      <c r="E944" s="16"/>
      <c r="G944" s="16"/>
      <c r="I944" s="16"/>
      <c r="K944" s="16"/>
      <c r="M944" s="16"/>
      <c r="O944" s="16"/>
      <c r="Q944" s="16"/>
      <c r="R944" s="16"/>
      <c r="T944" s="16"/>
      <c r="V944" s="16"/>
      <c r="X944" s="16"/>
      <c r="Z944" s="16"/>
      <c r="AB944" s="16"/>
      <c r="AD944" s="16"/>
      <c r="AF944" s="16"/>
      <c r="AH944" s="16"/>
      <c r="AJ944" s="16"/>
      <c r="AL944" s="16"/>
      <c r="AN944" s="16"/>
      <c r="AP944" s="16"/>
      <c r="AR944" s="16"/>
      <c r="AT944" s="16"/>
      <c r="AV944" s="16"/>
    </row>
    <row r="945" spans="3:48" ht="12.75">
      <c r="C945" s="16"/>
      <c r="E945" s="16"/>
      <c r="G945" s="16"/>
      <c r="I945" s="16"/>
      <c r="K945" s="16"/>
      <c r="M945" s="16"/>
      <c r="O945" s="16"/>
      <c r="Q945" s="16"/>
      <c r="R945" s="16"/>
      <c r="T945" s="16"/>
      <c r="V945" s="16"/>
      <c r="X945" s="16"/>
      <c r="Z945" s="16"/>
      <c r="AB945" s="16"/>
      <c r="AD945" s="16"/>
      <c r="AF945" s="16"/>
      <c r="AH945" s="16"/>
      <c r="AJ945" s="16"/>
      <c r="AL945" s="16"/>
      <c r="AN945" s="16"/>
      <c r="AP945" s="16"/>
      <c r="AR945" s="16"/>
      <c r="AT945" s="16"/>
      <c r="AV945" s="16"/>
    </row>
    <row r="946" spans="3:48" ht="12.75">
      <c r="C946" s="16"/>
      <c r="E946" s="16"/>
      <c r="G946" s="16"/>
      <c r="I946" s="16"/>
      <c r="K946" s="16"/>
      <c r="M946" s="16"/>
      <c r="O946" s="16"/>
      <c r="Q946" s="16"/>
      <c r="R946" s="16"/>
      <c r="T946" s="16"/>
      <c r="V946" s="16"/>
      <c r="X946" s="16"/>
      <c r="Z946" s="16"/>
      <c r="AB946" s="16"/>
      <c r="AD946" s="16"/>
      <c r="AF946" s="16"/>
      <c r="AH946" s="16"/>
      <c r="AJ946" s="16"/>
      <c r="AL946" s="16"/>
      <c r="AN946" s="16"/>
      <c r="AP946" s="16"/>
      <c r="AR946" s="16"/>
      <c r="AT946" s="16"/>
      <c r="AV946" s="16"/>
    </row>
    <row r="947" spans="3:48" ht="12.75">
      <c r="C947" s="16"/>
      <c r="E947" s="16"/>
      <c r="G947" s="16"/>
      <c r="I947" s="16"/>
      <c r="K947" s="16"/>
      <c r="M947" s="16"/>
      <c r="O947" s="16"/>
      <c r="Q947" s="16"/>
      <c r="R947" s="16"/>
      <c r="T947" s="16"/>
      <c r="V947" s="16"/>
      <c r="X947" s="16"/>
      <c r="Z947" s="16"/>
      <c r="AB947" s="16"/>
      <c r="AD947" s="16"/>
      <c r="AF947" s="16"/>
      <c r="AH947" s="16"/>
      <c r="AJ947" s="16"/>
      <c r="AL947" s="16"/>
      <c r="AN947" s="16"/>
      <c r="AP947" s="16"/>
      <c r="AR947" s="16"/>
      <c r="AT947" s="16"/>
      <c r="AV947" s="16"/>
    </row>
    <row r="948" spans="3:48" ht="12.75">
      <c r="C948" s="16"/>
      <c r="E948" s="16"/>
      <c r="G948" s="16"/>
      <c r="I948" s="16"/>
      <c r="K948" s="16"/>
      <c r="M948" s="16"/>
      <c r="O948" s="16"/>
      <c r="Q948" s="16"/>
      <c r="R948" s="16"/>
      <c r="T948" s="16"/>
      <c r="V948" s="16"/>
      <c r="X948" s="16"/>
      <c r="Z948" s="16"/>
      <c r="AB948" s="16"/>
      <c r="AD948" s="16"/>
      <c r="AF948" s="16"/>
      <c r="AH948" s="16"/>
      <c r="AJ948" s="16"/>
      <c r="AL948" s="16"/>
      <c r="AN948" s="16"/>
      <c r="AP948" s="16"/>
      <c r="AR948" s="16"/>
      <c r="AT948" s="16"/>
      <c r="AV948" s="16"/>
    </row>
    <row r="949" spans="3:48" ht="12.75">
      <c r="C949" s="16"/>
      <c r="E949" s="16"/>
      <c r="G949" s="16"/>
      <c r="I949" s="16"/>
      <c r="K949" s="16"/>
      <c r="M949" s="16"/>
      <c r="O949" s="16"/>
      <c r="Q949" s="16"/>
      <c r="R949" s="16"/>
      <c r="T949" s="16"/>
      <c r="V949" s="16"/>
      <c r="X949" s="16"/>
      <c r="Z949" s="16"/>
      <c r="AB949" s="16"/>
      <c r="AD949" s="16"/>
      <c r="AF949" s="16"/>
      <c r="AH949" s="16"/>
      <c r="AJ949" s="16"/>
      <c r="AL949" s="16"/>
      <c r="AN949" s="16"/>
      <c r="AP949" s="16"/>
      <c r="AR949" s="16"/>
      <c r="AT949" s="16"/>
      <c r="AV949" s="16"/>
    </row>
    <row r="950" spans="3:48" ht="12.75">
      <c r="C950" s="16"/>
      <c r="E950" s="16"/>
      <c r="G950" s="16"/>
      <c r="I950" s="16"/>
      <c r="K950" s="16"/>
      <c r="M950" s="16"/>
      <c r="O950" s="16"/>
      <c r="Q950" s="16"/>
      <c r="R950" s="16"/>
      <c r="T950" s="16"/>
      <c r="V950" s="16"/>
      <c r="X950" s="16"/>
      <c r="Z950" s="16"/>
      <c r="AB950" s="16"/>
      <c r="AD950" s="16"/>
      <c r="AF950" s="16"/>
      <c r="AH950" s="16"/>
      <c r="AJ950" s="16"/>
      <c r="AL950" s="16"/>
      <c r="AN950" s="16"/>
      <c r="AP950" s="16"/>
      <c r="AR950" s="16"/>
      <c r="AT950" s="16"/>
      <c r="AV950" s="16"/>
    </row>
    <row r="951" spans="3:48" ht="12.75">
      <c r="C951" s="16"/>
      <c r="E951" s="16"/>
      <c r="G951" s="16"/>
      <c r="I951" s="16"/>
      <c r="K951" s="16"/>
      <c r="M951" s="16"/>
      <c r="O951" s="16"/>
      <c r="Q951" s="16"/>
      <c r="R951" s="16"/>
      <c r="T951" s="16"/>
      <c r="V951" s="16"/>
      <c r="X951" s="16"/>
      <c r="Z951" s="16"/>
      <c r="AB951" s="16"/>
      <c r="AD951" s="16"/>
      <c r="AF951" s="16"/>
      <c r="AH951" s="16"/>
      <c r="AJ951" s="16"/>
      <c r="AL951" s="16"/>
      <c r="AN951" s="16"/>
      <c r="AP951" s="16"/>
      <c r="AR951" s="16"/>
      <c r="AT951" s="16"/>
      <c r="AV951" s="16"/>
    </row>
    <row r="952" spans="3:48" ht="12.75">
      <c r="C952" s="16"/>
      <c r="E952" s="16"/>
      <c r="G952" s="16"/>
      <c r="I952" s="16"/>
      <c r="K952" s="16"/>
      <c r="M952" s="16"/>
      <c r="O952" s="16"/>
      <c r="Q952" s="16"/>
      <c r="R952" s="16"/>
      <c r="T952" s="16"/>
      <c r="V952" s="16"/>
      <c r="X952" s="16"/>
      <c r="Z952" s="16"/>
      <c r="AB952" s="16"/>
      <c r="AD952" s="16"/>
      <c r="AF952" s="16"/>
      <c r="AH952" s="16"/>
      <c r="AJ952" s="16"/>
      <c r="AL952" s="16"/>
      <c r="AN952" s="16"/>
      <c r="AP952" s="16"/>
      <c r="AR952" s="16"/>
      <c r="AT952" s="16"/>
      <c r="AV952" s="16"/>
    </row>
    <row r="953" spans="3:48" ht="12.75">
      <c r="C953" s="16"/>
      <c r="E953" s="16"/>
      <c r="G953" s="16"/>
      <c r="I953" s="16"/>
      <c r="K953" s="16"/>
      <c r="M953" s="16"/>
      <c r="O953" s="16"/>
      <c r="Q953" s="16"/>
      <c r="R953" s="16"/>
      <c r="T953" s="16"/>
      <c r="V953" s="16"/>
      <c r="X953" s="16"/>
      <c r="Z953" s="16"/>
      <c r="AB953" s="16"/>
      <c r="AD953" s="16"/>
      <c r="AF953" s="16"/>
      <c r="AH953" s="16"/>
      <c r="AJ953" s="16"/>
      <c r="AL953" s="16"/>
      <c r="AN953" s="16"/>
      <c r="AP953" s="16"/>
      <c r="AR953" s="16"/>
      <c r="AT953" s="16"/>
      <c r="AV953" s="16"/>
    </row>
    <row r="954" spans="3:48" ht="12.75">
      <c r="C954" s="16"/>
      <c r="E954" s="16"/>
      <c r="G954" s="16"/>
      <c r="I954" s="16"/>
      <c r="K954" s="16"/>
      <c r="M954" s="16"/>
      <c r="O954" s="16"/>
      <c r="Q954" s="16"/>
      <c r="R954" s="16"/>
      <c r="T954" s="16"/>
      <c r="V954" s="16"/>
      <c r="X954" s="16"/>
      <c r="Z954" s="16"/>
      <c r="AB954" s="16"/>
      <c r="AD954" s="16"/>
      <c r="AF954" s="16"/>
      <c r="AH954" s="16"/>
      <c r="AJ954" s="16"/>
      <c r="AL954" s="16"/>
      <c r="AN954" s="16"/>
      <c r="AP954" s="16"/>
      <c r="AR954" s="16"/>
      <c r="AT954" s="16"/>
      <c r="AV954" s="16"/>
    </row>
    <row r="955" spans="3:48" ht="12.75">
      <c r="C955" s="16"/>
      <c r="E955" s="16"/>
      <c r="G955" s="16"/>
      <c r="I955" s="16"/>
      <c r="K955" s="16"/>
      <c r="M955" s="16"/>
      <c r="O955" s="16"/>
      <c r="Q955" s="16"/>
      <c r="R955" s="16"/>
      <c r="T955" s="16"/>
      <c r="V955" s="16"/>
      <c r="X955" s="16"/>
      <c r="Z955" s="16"/>
      <c r="AB955" s="16"/>
      <c r="AD955" s="16"/>
      <c r="AF955" s="16"/>
      <c r="AH955" s="16"/>
      <c r="AJ955" s="16"/>
      <c r="AL955" s="16"/>
      <c r="AN955" s="16"/>
      <c r="AP955" s="16"/>
      <c r="AR955" s="16"/>
      <c r="AT955" s="16"/>
      <c r="AV955" s="16"/>
    </row>
    <row r="956" spans="3:48" ht="12.75">
      <c r="C956" s="16"/>
      <c r="E956" s="16"/>
      <c r="G956" s="16"/>
      <c r="I956" s="16"/>
      <c r="K956" s="16"/>
      <c r="M956" s="16"/>
      <c r="O956" s="16"/>
      <c r="Q956" s="16"/>
      <c r="R956" s="16"/>
      <c r="T956" s="16"/>
      <c r="V956" s="16"/>
      <c r="X956" s="16"/>
      <c r="Z956" s="16"/>
      <c r="AB956" s="16"/>
      <c r="AD956" s="16"/>
      <c r="AF956" s="16"/>
      <c r="AH956" s="16"/>
      <c r="AJ956" s="16"/>
      <c r="AL956" s="16"/>
      <c r="AN956" s="16"/>
      <c r="AP956" s="16"/>
      <c r="AR956" s="16"/>
      <c r="AT956" s="16"/>
      <c r="AV956" s="16"/>
    </row>
    <row r="957" spans="3:48" ht="12.75">
      <c r="C957" s="16"/>
      <c r="E957" s="16"/>
      <c r="G957" s="16"/>
      <c r="I957" s="16"/>
      <c r="K957" s="16"/>
      <c r="M957" s="16"/>
      <c r="O957" s="16"/>
      <c r="Q957" s="16"/>
      <c r="R957" s="16"/>
      <c r="T957" s="16"/>
      <c r="V957" s="16"/>
      <c r="X957" s="16"/>
      <c r="Z957" s="16"/>
      <c r="AB957" s="16"/>
      <c r="AD957" s="16"/>
      <c r="AF957" s="16"/>
      <c r="AH957" s="16"/>
      <c r="AJ957" s="16"/>
      <c r="AL957" s="16"/>
      <c r="AN957" s="16"/>
      <c r="AP957" s="16"/>
      <c r="AR957" s="16"/>
      <c r="AT957" s="16"/>
      <c r="AV957" s="16"/>
    </row>
    <row r="958" spans="3:48" ht="12.75">
      <c r="C958" s="16"/>
      <c r="E958" s="16"/>
      <c r="G958" s="16"/>
      <c r="I958" s="16"/>
      <c r="K958" s="16"/>
      <c r="M958" s="16"/>
      <c r="O958" s="16"/>
      <c r="Q958" s="16"/>
      <c r="R958" s="16"/>
      <c r="T958" s="16"/>
      <c r="V958" s="16"/>
      <c r="X958" s="16"/>
      <c r="Z958" s="16"/>
      <c r="AB958" s="16"/>
      <c r="AD958" s="16"/>
      <c r="AF958" s="16"/>
      <c r="AH958" s="16"/>
      <c r="AJ958" s="16"/>
      <c r="AL958" s="16"/>
      <c r="AN958" s="16"/>
      <c r="AP958" s="16"/>
      <c r="AR958" s="16"/>
      <c r="AT958" s="16"/>
      <c r="AV958" s="16"/>
    </row>
    <row r="959" spans="3:48" ht="12.75">
      <c r="C959" s="16"/>
      <c r="E959" s="16"/>
      <c r="G959" s="16"/>
      <c r="I959" s="16"/>
      <c r="K959" s="16"/>
      <c r="M959" s="16"/>
      <c r="O959" s="16"/>
      <c r="Q959" s="16"/>
      <c r="R959" s="16"/>
      <c r="T959" s="16"/>
      <c r="V959" s="16"/>
      <c r="X959" s="16"/>
      <c r="Z959" s="16"/>
      <c r="AB959" s="16"/>
      <c r="AD959" s="16"/>
      <c r="AF959" s="16"/>
      <c r="AH959" s="16"/>
      <c r="AJ959" s="16"/>
      <c r="AL959" s="16"/>
      <c r="AN959" s="16"/>
      <c r="AP959" s="16"/>
      <c r="AR959" s="16"/>
      <c r="AT959" s="16"/>
      <c r="AV959" s="16"/>
    </row>
    <row r="960" spans="3:48" ht="12.75">
      <c r="C960" s="16"/>
      <c r="E960" s="16"/>
      <c r="G960" s="16"/>
      <c r="I960" s="16"/>
      <c r="K960" s="16"/>
      <c r="M960" s="16"/>
      <c r="O960" s="16"/>
      <c r="Q960" s="16"/>
      <c r="R960" s="16"/>
      <c r="T960" s="16"/>
      <c r="V960" s="16"/>
      <c r="X960" s="16"/>
      <c r="Z960" s="16"/>
      <c r="AB960" s="16"/>
      <c r="AD960" s="16"/>
      <c r="AF960" s="16"/>
      <c r="AH960" s="16"/>
      <c r="AJ960" s="16"/>
      <c r="AL960" s="16"/>
      <c r="AN960" s="16"/>
      <c r="AP960" s="16"/>
      <c r="AR960" s="16"/>
      <c r="AT960" s="16"/>
      <c r="AV960" s="16"/>
    </row>
    <row r="961" spans="3:48" ht="12.75">
      <c r="C961" s="16"/>
      <c r="E961" s="16"/>
      <c r="G961" s="16"/>
      <c r="I961" s="16"/>
      <c r="K961" s="16"/>
      <c r="M961" s="16"/>
      <c r="O961" s="16"/>
      <c r="Q961" s="16"/>
      <c r="R961" s="16"/>
      <c r="T961" s="16"/>
      <c r="V961" s="16"/>
      <c r="X961" s="16"/>
      <c r="Z961" s="16"/>
      <c r="AB961" s="16"/>
      <c r="AD961" s="16"/>
      <c r="AF961" s="16"/>
      <c r="AH961" s="16"/>
      <c r="AJ961" s="16"/>
      <c r="AL961" s="16"/>
      <c r="AN961" s="16"/>
      <c r="AP961" s="16"/>
      <c r="AR961" s="16"/>
      <c r="AT961" s="16"/>
      <c r="AV961" s="16"/>
    </row>
    <row r="962" spans="3:48" ht="12.75">
      <c r="C962" s="16"/>
      <c r="E962" s="16"/>
      <c r="G962" s="16"/>
      <c r="I962" s="16"/>
      <c r="K962" s="16"/>
      <c r="M962" s="16"/>
      <c r="O962" s="16"/>
      <c r="Q962" s="16"/>
      <c r="R962" s="16"/>
      <c r="T962" s="16"/>
      <c r="V962" s="16"/>
      <c r="X962" s="16"/>
      <c r="Z962" s="16"/>
      <c r="AB962" s="16"/>
      <c r="AD962" s="16"/>
      <c r="AF962" s="16"/>
      <c r="AH962" s="16"/>
      <c r="AJ962" s="16"/>
      <c r="AL962" s="16"/>
      <c r="AN962" s="16"/>
      <c r="AP962" s="16"/>
      <c r="AR962" s="16"/>
      <c r="AT962" s="16"/>
      <c r="AV962" s="16"/>
    </row>
    <row r="963" spans="3:48" ht="12.75">
      <c r="C963" s="16"/>
      <c r="E963" s="16"/>
      <c r="G963" s="16"/>
      <c r="I963" s="16"/>
      <c r="K963" s="16"/>
      <c r="M963" s="16"/>
      <c r="O963" s="16"/>
      <c r="Q963" s="16"/>
      <c r="R963" s="16"/>
      <c r="T963" s="16"/>
      <c r="V963" s="16"/>
      <c r="X963" s="16"/>
      <c r="Z963" s="16"/>
      <c r="AB963" s="16"/>
      <c r="AD963" s="16"/>
      <c r="AF963" s="16"/>
      <c r="AH963" s="16"/>
      <c r="AJ963" s="16"/>
      <c r="AL963" s="16"/>
      <c r="AN963" s="16"/>
      <c r="AP963" s="16"/>
      <c r="AR963" s="16"/>
      <c r="AT963" s="16"/>
      <c r="AV963" s="16"/>
    </row>
    <row r="964" spans="3:48" ht="12.75">
      <c r="C964" s="16"/>
      <c r="E964" s="16"/>
      <c r="G964" s="16"/>
      <c r="I964" s="16"/>
      <c r="K964" s="16"/>
      <c r="M964" s="16"/>
      <c r="O964" s="16"/>
      <c r="Q964" s="16"/>
      <c r="R964" s="16"/>
      <c r="T964" s="16"/>
      <c r="V964" s="16"/>
      <c r="X964" s="16"/>
      <c r="Z964" s="16"/>
      <c r="AB964" s="16"/>
      <c r="AD964" s="16"/>
      <c r="AF964" s="16"/>
      <c r="AH964" s="16"/>
      <c r="AJ964" s="16"/>
      <c r="AL964" s="16"/>
      <c r="AN964" s="16"/>
      <c r="AP964" s="16"/>
      <c r="AR964" s="16"/>
      <c r="AT964" s="16"/>
      <c r="AV964" s="16"/>
    </row>
    <row r="965" spans="3:48" ht="12.75">
      <c r="C965" s="16"/>
      <c r="E965" s="16"/>
      <c r="G965" s="16"/>
      <c r="I965" s="16"/>
      <c r="K965" s="16"/>
      <c r="M965" s="16"/>
      <c r="O965" s="16"/>
      <c r="Q965" s="16"/>
      <c r="R965" s="16"/>
      <c r="T965" s="16"/>
      <c r="V965" s="16"/>
      <c r="X965" s="16"/>
      <c r="Z965" s="16"/>
      <c r="AB965" s="16"/>
      <c r="AD965" s="16"/>
      <c r="AF965" s="16"/>
      <c r="AH965" s="16"/>
      <c r="AJ965" s="16"/>
      <c r="AL965" s="16"/>
      <c r="AN965" s="16"/>
      <c r="AP965" s="16"/>
      <c r="AR965" s="16"/>
      <c r="AT965" s="16"/>
      <c r="AV965" s="16"/>
    </row>
    <row r="966" spans="3:48" ht="12.75">
      <c r="C966" s="16"/>
      <c r="E966" s="16"/>
      <c r="G966" s="16"/>
      <c r="I966" s="16"/>
      <c r="K966" s="16"/>
      <c r="M966" s="16"/>
      <c r="O966" s="16"/>
      <c r="Q966" s="16"/>
      <c r="R966" s="16"/>
      <c r="T966" s="16"/>
      <c r="V966" s="16"/>
      <c r="X966" s="16"/>
      <c r="Z966" s="16"/>
      <c r="AB966" s="16"/>
      <c r="AD966" s="16"/>
      <c r="AF966" s="16"/>
      <c r="AH966" s="16"/>
      <c r="AJ966" s="16"/>
      <c r="AL966" s="16"/>
      <c r="AN966" s="16"/>
      <c r="AP966" s="16"/>
      <c r="AR966" s="16"/>
      <c r="AT966" s="16"/>
      <c r="AV966" s="16"/>
    </row>
    <row r="967" spans="3:48" ht="12.75">
      <c r="C967" s="16"/>
      <c r="E967" s="16"/>
      <c r="G967" s="16"/>
      <c r="I967" s="16"/>
      <c r="K967" s="16"/>
      <c r="M967" s="16"/>
      <c r="O967" s="16"/>
      <c r="Q967" s="16"/>
      <c r="R967" s="16"/>
      <c r="T967" s="16"/>
      <c r="V967" s="16"/>
      <c r="X967" s="16"/>
      <c r="Z967" s="16"/>
      <c r="AB967" s="16"/>
      <c r="AD967" s="16"/>
      <c r="AF967" s="16"/>
      <c r="AH967" s="16"/>
      <c r="AJ967" s="16"/>
      <c r="AL967" s="16"/>
      <c r="AN967" s="16"/>
      <c r="AP967" s="16"/>
      <c r="AR967" s="16"/>
      <c r="AT967" s="16"/>
      <c r="AV967" s="16"/>
    </row>
    <row r="968" spans="3:48" ht="12.75">
      <c r="C968" s="16"/>
      <c r="E968" s="16"/>
      <c r="G968" s="16"/>
      <c r="I968" s="16"/>
      <c r="K968" s="16"/>
      <c r="M968" s="16"/>
      <c r="O968" s="16"/>
      <c r="Q968" s="16"/>
      <c r="R968" s="16"/>
      <c r="T968" s="16"/>
      <c r="V968" s="16"/>
      <c r="X968" s="16"/>
      <c r="Z968" s="16"/>
      <c r="AB968" s="16"/>
      <c r="AD968" s="16"/>
      <c r="AF968" s="16"/>
      <c r="AH968" s="16"/>
      <c r="AJ968" s="16"/>
      <c r="AL968" s="16"/>
      <c r="AN968" s="16"/>
      <c r="AP968" s="16"/>
      <c r="AR968" s="16"/>
      <c r="AT968" s="16"/>
      <c r="AV968" s="16"/>
    </row>
    <row r="969" spans="3:48" ht="12.75">
      <c r="C969" s="16"/>
      <c r="E969" s="16"/>
      <c r="G969" s="16"/>
      <c r="I969" s="16"/>
      <c r="K969" s="16"/>
      <c r="M969" s="16"/>
      <c r="O969" s="16"/>
      <c r="Q969" s="16"/>
      <c r="R969" s="16"/>
      <c r="T969" s="16"/>
      <c r="V969" s="16"/>
      <c r="X969" s="16"/>
      <c r="Z969" s="16"/>
      <c r="AB969" s="16"/>
      <c r="AD969" s="16"/>
      <c r="AF969" s="16"/>
      <c r="AH969" s="16"/>
      <c r="AJ969" s="16"/>
      <c r="AL969" s="16"/>
      <c r="AN969" s="16"/>
      <c r="AP969" s="16"/>
      <c r="AR969" s="16"/>
      <c r="AT969" s="16"/>
      <c r="AV969" s="16"/>
    </row>
    <row r="970" spans="3:48" ht="12.75">
      <c r="C970" s="16"/>
      <c r="E970" s="16"/>
      <c r="G970" s="16"/>
      <c r="I970" s="16"/>
      <c r="K970" s="16"/>
      <c r="M970" s="16"/>
      <c r="O970" s="16"/>
      <c r="Q970" s="16"/>
      <c r="R970" s="16"/>
      <c r="T970" s="16"/>
      <c r="V970" s="16"/>
      <c r="X970" s="16"/>
      <c r="Z970" s="16"/>
      <c r="AB970" s="16"/>
      <c r="AD970" s="16"/>
      <c r="AF970" s="16"/>
      <c r="AH970" s="16"/>
      <c r="AJ970" s="16"/>
      <c r="AL970" s="16"/>
      <c r="AN970" s="16"/>
      <c r="AP970" s="16"/>
      <c r="AR970" s="16"/>
      <c r="AT970" s="16"/>
      <c r="AV970" s="16"/>
    </row>
    <row r="971" spans="3:48" ht="12.75">
      <c r="C971" s="16"/>
      <c r="E971" s="16"/>
      <c r="G971" s="16"/>
      <c r="I971" s="16"/>
      <c r="K971" s="16"/>
      <c r="M971" s="16"/>
      <c r="O971" s="16"/>
      <c r="Q971" s="16"/>
      <c r="R971" s="16"/>
      <c r="T971" s="16"/>
      <c r="V971" s="16"/>
      <c r="X971" s="16"/>
      <c r="Z971" s="16"/>
      <c r="AB971" s="16"/>
      <c r="AD971" s="16"/>
      <c r="AF971" s="16"/>
      <c r="AH971" s="16"/>
      <c r="AJ971" s="16"/>
      <c r="AL971" s="16"/>
      <c r="AN971" s="16"/>
      <c r="AP971" s="16"/>
      <c r="AR971" s="16"/>
      <c r="AT971" s="16"/>
      <c r="AV971" s="16"/>
    </row>
    <row r="972" spans="3:48" ht="12.75">
      <c r="C972" s="16"/>
      <c r="E972" s="16"/>
      <c r="G972" s="16"/>
      <c r="I972" s="16"/>
      <c r="K972" s="16"/>
      <c r="M972" s="16"/>
      <c r="O972" s="16"/>
      <c r="Q972" s="16"/>
      <c r="R972" s="16"/>
      <c r="T972" s="16"/>
      <c r="V972" s="16"/>
      <c r="X972" s="16"/>
      <c r="Z972" s="16"/>
      <c r="AB972" s="16"/>
      <c r="AD972" s="16"/>
      <c r="AF972" s="16"/>
      <c r="AH972" s="16"/>
      <c r="AJ972" s="16"/>
      <c r="AL972" s="16"/>
      <c r="AN972" s="16"/>
      <c r="AP972" s="16"/>
      <c r="AR972" s="16"/>
      <c r="AT972" s="16"/>
      <c r="AV972" s="16"/>
    </row>
    <row r="973" spans="3:48" ht="12.75">
      <c r="C973" s="16"/>
      <c r="E973" s="16"/>
      <c r="G973" s="16"/>
      <c r="I973" s="16"/>
      <c r="K973" s="16"/>
      <c r="M973" s="16"/>
      <c r="O973" s="16"/>
      <c r="Q973" s="16"/>
      <c r="R973" s="16"/>
      <c r="T973" s="16"/>
      <c r="V973" s="16"/>
      <c r="X973" s="16"/>
      <c r="Z973" s="16"/>
      <c r="AB973" s="16"/>
      <c r="AD973" s="16"/>
      <c r="AF973" s="16"/>
      <c r="AH973" s="16"/>
      <c r="AJ973" s="16"/>
      <c r="AL973" s="16"/>
      <c r="AN973" s="16"/>
      <c r="AP973" s="16"/>
      <c r="AR973" s="16"/>
      <c r="AT973" s="16"/>
      <c r="AV973" s="16"/>
    </row>
    <row r="974" spans="3:48" ht="12.75">
      <c r="C974" s="16"/>
      <c r="E974" s="16"/>
      <c r="G974" s="16"/>
      <c r="I974" s="16"/>
      <c r="K974" s="16"/>
      <c r="M974" s="16"/>
      <c r="O974" s="16"/>
      <c r="Q974" s="16"/>
      <c r="R974" s="16"/>
      <c r="T974" s="16"/>
      <c r="V974" s="16"/>
      <c r="X974" s="16"/>
      <c r="Z974" s="16"/>
      <c r="AB974" s="16"/>
      <c r="AD974" s="16"/>
      <c r="AF974" s="16"/>
      <c r="AH974" s="16"/>
      <c r="AJ974" s="16"/>
      <c r="AL974" s="16"/>
      <c r="AN974" s="16"/>
      <c r="AP974" s="16"/>
      <c r="AR974" s="16"/>
      <c r="AT974" s="16"/>
      <c r="AV974" s="16"/>
    </row>
    <row r="975" spans="3:48" ht="12.75">
      <c r="C975" s="16"/>
      <c r="E975" s="16"/>
      <c r="G975" s="16"/>
      <c r="I975" s="16"/>
      <c r="K975" s="16"/>
      <c r="M975" s="16"/>
      <c r="O975" s="16"/>
      <c r="Q975" s="16"/>
      <c r="R975" s="16"/>
      <c r="T975" s="16"/>
      <c r="V975" s="16"/>
      <c r="X975" s="16"/>
      <c r="Z975" s="16"/>
      <c r="AB975" s="16"/>
      <c r="AD975" s="16"/>
      <c r="AF975" s="16"/>
      <c r="AH975" s="16"/>
      <c r="AJ975" s="16"/>
      <c r="AL975" s="16"/>
      <c r="AN975" s="16"/>
      <c r="AP975" s="16"/>
      <c r="AR975" s="16"/>
      <c r="AT975" s="16"/>
      <c r="AV975" s="16"/>
    </row>
    <row r="976" spans="3:48" ht="12.75">
      <c r="C976" s="16"/>
      <c r="E976" s="16"/>
      <c r="G976" s="16"/>
      <c r="I976" s="16"/>
      <c r="K976" s="16"/>
      <c r="M976" s="16"/>
      <c r="O976" s="16"/>
      <c r="Q976" s="16"/>
      <c r="R976" s="16"/>
      <c r="T976" s="16"/>
      <c r="V976" s="16"/>
      <c r="X976" s="16"/>
      <c r="Z976" s="16"/>
      <c r="AB976" s="16"/>
      <c r="AD976" s="16"/>
      <c r="AF976" s="16"/>
      <c r="AH976" s="16"/>
      <c r="AJ976" s="16"/>
      <c r="AL976" s="16"/>
      <c r="AN976" s="16"/>
      <c r="AP976" s="16"/>
      <c r="AR976" s="16"/>
      <c r="AT976" s="16"/>
      <c r="AV976" s="16"/>
    </row>
    <row r="977" spans="3:48" ht="12.75">
      <c r="C977" s="16"/>
      <c r="E977" s="16"/>
      <c r="G977" s="16"/>
      <c r="I977" s="16"/>
      <c r="K977" s="16"/>
      <c r="M977" s="16"/>
      <c r="O977" s="16"/>
      <c r="Q977" s="16"/>
      <c r="R977" s="16"/>
      <c r="T977" s="16"/>
      <c r="V977" s="16"/>
      <c r="X977" s="16"/>
      <c r="Z977" s="16"/>
      <c r="AB977" s="16"/>
      <c r="AD977" s="16"/>
      <c r="AF977" s="16"/>
      <c r="AH977" s="16"/>
      <c r="AJ977" s="16"/>
      <c r="AL977" s="16"/>
      <c r="AN977" s="16"/>
      <c r="AP977" s="16"/>
      <c r="AR977" s="16"/>
      <c r="AT977" s="16"/>
      <c r="AV977" s="16"/>
    </row>
    <row r="978" spans="3:48" ht="12.75">
      <c r="C978" s="16"/>
      <c r="E978" s="16"/>
      <c r="G978" s="16"/>
      <c r="I978" s="16"/>
      <c r="K978" s="16"/>
      <c r="M978" s="16"/>
      <c r="O978" s="16"/>
      <c r="Q978" s="16"/>
      <c r="R978" s="16"/>
      <c r="T978" s="16"/>
      <c r="V978" s="16"/>
      <c r="X978" s="16"/>
      <c r="Z978" s="16"/>
      <c r="AB978" s="16"/>
      <c r="AD978" s="16"/>
      <c r="AF978" s="16"/>
      <c r="AH978" s="16"/>
      <c r="AJ978" s="16"/>
      <c r="AL978" s="16"/>
      <c r="AN978" s="16"/>
      <c r="AP978" s="16"/>
      <c r="AR978" s="16"/>
      <c r="AT978" s="16"/>
      <c r="AV978" s="16"/>
    </row>
    <row r="979" spans="3:48" ht="12.75">
      <c r="C979" s="16"/>
      <c r="E979" s="16"/>
      <c r="G979" s="16"/>
      <c r="I979" s="16"/>
      <c r="K979" s="16"/>
      <c r="M979" s="16"/>
      <c r="O979" s="16"/>
      <c r="Q979" s="16"/>
      <c r="R979" s="16"/>
      <c r="T979" s="16"/>
      <c r="V979" s="16"/>
      <c r="X979" s="16"/>
      <c r="Z979" s="16"/>
      <c r="AB979" s="16"/>
      <c r="AD979" s="16"/>
      <c r="AF979" s="16"/>
      <c r="AH979" s="16"/>
      <c r="AJ979" s="16"/>
      <c r="AL979" s="16"/>
      <c r="AN979" s="16"/>
      <c r="AP979" s="16"/>
      <c r="AR979" s="16"/>
      <c r="AT979" s="16"/>
      <c r="AV979" s="16"/>
    </row>
    <row r="980" spans="3:48" ht="12.75">
      <c r="C980" s="16"/>
      <c r="E980" s="16"/>
      <c r="G980" s="16"/>
      <c r="I980" s="16"/>
      <c r="K980" s="16"/>
      <c r="M980" s="16"/>
      <c r="O980" s="16"/>
      <c r="Q980" s="16"/>
      <c r="R980" s="16"/>
      <c r="T980" s="16"/>
      <c r="V980" s="16"/>
      <c r="X980" s="16"/>
      <c r="Z980" s="16"/>
      <c r="AB980" s="16"/>
      <c r="AD980" s="16"/>
      <c r="AF980" s="16"/>
      <c r="AH980" s="16"/>
      <c r="AJ980" s="16"/>
      <c r="AL980" s="16"/>
      <c r="AN980" s="16"/>
      <c r="AP980" s="16"/>
      <c r="AR980" s="16"/>
      <c r="AT980" s="16"/>
      <c r="AV980" s="16"/>
    </row>
    <row r="981" spans="3:48" ht="12.75">
      <c r="C981" s="16"/>
      <c r="E981" s="16"/>
      <c r="G981" s="16"/>
      <c r="I981" s="16"/>
      <c r="K981" s="16"/>
      <c r="M981" s="16"/>
      <c r="O981" s="16"/>
      <c r="Q981" s="16"/>
      <c r="R981" s="16"/>
      <c r="T981" s="16"/>
      <c r="V981" s="16"/>
      <c r="X981" s="16"/>
      <c r="Z981" s="16"/>
      <c r="AB981" s="16"/>
      <c r="AD981" s="16"/>
      <c r="AF981" s="16"/>
      <c r="AH981" s="16"/>
      <c r="AJ981" s="16"/>
      <c r="AL981" s="16"/>
      <c r="AN981" s="16"/>
      <c r="AP981" s="16"/>
      <c r="AR981" s="16"/>
      <c r="AT981" s="16"/>
      <c r="AV981" s="16"/>
    </row>
    <row r="982" spans="3:48" ht="12.75">
      <c r="C982" s="16"/>
      <c r="E982" s="16"/>
      <c r="G982" s="16"/>
      <c r="I982" s="16"/>
      <c r="K982" s="16"/>
      <c r="M982" s="16"/>
      <c r="O982" s="16"/>
      <c r="Q982" s="16"/>
      <c r="R982" s="16"/>
      <c r="T982" s="16"/>
      <c r="V982" s="16"/>
      <c r="X982" s="16"/>
      <c r="Z982" s="16"/>
      <c r="AB982" s="16"/>
      <c r="AD982" s="16"/>
      <c r="AF982" s="16"/>
      <c r="AH982" s="16"/>
      <c r="AJ982" s="16"/>
      <c r="AL982" s="16"/>
      <c r="AN982" s="16"/>
      <c r="AP982" s="16"/>
      <c r="AR982" s="16"/>
      <c r="AT982" s="16"/>
      <c r="AV982" s="16"/>
    </row>
    <row r="983" spans="3:48" ht="12.75">
      <c r="C983" s="16"/>
      <c r="E983" s="16"/>
      <c r="G983" s="16"/>
      <c r="I983" s="16"/>
      <c r="K983" s="16"/>
      <c r="M983" s="16"/>
      <c r="O983" s="16"/>
      <c r="Q983" s="16"/>
      <c r="R983" s="16"/>
      <c r="T983" s="16"/>
      <c r="V983" s="16"/>
      <c r="X983" s="16"/>
      <c r="Z983" s="16"/>
      <c r="AB983" s="16"/>
      <c r="AD983" s="16"/>
      <c r="AF983" s="16"/>
      <c r="AH983" s="16"/>
      <c r="AJ983" s="16"/>
      <c r="AL983" s="16"/>
      <c r="AN983" s="16"/>
      <c r="AP983" s="16"/>
      <c r="AR983" s="16"/>
      <c r="AT983" s="16"/>
      <c r="AV983" s="16"/>
    </row>
    <row r="984" spans="3:48" ht="12.75">
      <c r="C984" s="16"/>
      <c r="E984" s="16"/>
      <c r="G984" s="16"/>
      <c r="I984" s="16"/>
      <c r="K984" s="16"/>
      <c r="M984" s="16"/>
      <c r="O984" s="16"/>
      <c r="Q984" s="16"/>
      <c r="R984" s="16"/>
      <c r="T984" s="16"/>
      <c r="V984" s="16"/>
      <c r="X984" s="16"/>
      <c r="Z984" s="16"/>
      <c r="AB984" s="16"/>
      <c r="AD984" s="16"/>
      <c r="AF984" s="16"/>
      <c r="AH984" s="16"/>
      <c r="AJ984" s="16"/>
      <c r="AL984" s="16"/>
      <c r="AN984" s="16"/>
      <c r="AP984" s="16"/>
      <c r="AR984" s="16"/>
      <c r="AT984" s="16"/>
      <c r="AV984" s="16"/>
    </row>
    <row r="985" spans="3:48" ht="12.75">
      <c r="C985" s="16"/>
      <c r="E985" s="16"/>
      <c r="G985" s="16"/>
      <c r="I985" s="16"/>
      <c r="K985" s="16"/>
      <c r="M985" s="16"/>
      <c r="O985" s="16"/>
      <c r="Q985" s="16"/>
      <c r="R985" s="16"/>
      <c r="T985" s="16"/>
      <c r="V985" s="16"/>
      <c r="X985" s="16"/>
      <c r="Z985" s="16"/>
      <c r="AB985" s="16"/>
      <c r="AD985" s="16"/>
      <c r="AF985" s="16"/>
      <c r="AH985" s="16"/>
      <c r="AJ985" s="16"/>
      <c r="AL985" s="16"/>
      <c r="AN985" s="16"/>
      <c r="AP985" s="16"/>
      <c r="AR985" s="16"/>
      <c r="AT985" s="16"/>
      <c r="AV985" s="16"/>
    </row>
    <row r="986" spans="3:48" ht="12.75">
      <c r="C986" s="16"/>
      <c r="E986" s="16"/>
      <c r="G986" s="16"/>
      <c r="I986" s="16"/>
      <c r="K986" s="16"/>
      <c r="M986" s="16"/>
      <c r="O986" s="16"/>
      <c r="Q986" s="16"/>
      <c r="R986" s="16"/>
      <c r="T986" s="16"/>
      <c r="V986" s="16"/>
      <c r="X986" s="16"/>
      <c r="Z986" s="16"/>
      <c r="AB986" s="16"/>
      <c r="AD986" s="16"/>
      <c r="AF986" s="16"/>
      <c r="AH986" s="16"/>
      <c r="AJ986" s="16"/>
      <c r="AL986" s="16"/>
      <c r="AN986" s="16"/>
      <c r="AP986" s="16"/>
      <c r="AR986" s="16"/>
      <c r="AT986" s="16"/>
      <c r="AV986" s="16"/>
    </row>
    <row r="987" spans="3:48" ht="12.75">
      <c r="C987" s="16"/>
      <c r="E987" s="16"/>
      <c r="G987" s="16"/>
      <c r="I987" s="16"/>
      <c r="K987" s="16"/>
      <c r="M987" s="16"/>
      <c r="O987" s="16"/>
      <c r="Q987" s="16"/>
      <c r="R987" s="16"/>
      <c r="T987" s="16"/>
      <c r="V987" s="16"/>
      <c r="X987" s="16"/>
      <c r="Z987" s="16"/>
      <c r="AB987" s="16"/>
      <c r="AD987" s="16"/>
      <c r="AF987" s="16"/>
      <c r="AH987" s="16"/>
      <c r="AJ987" s="16"/>
      <c r="AL987" s="16"/>
      <c r="AN987" s="16"/>
      <c r="AP987" s="16"/>
      <c r="AR987" s="16"/>
      <c r="AT987" s="16"/>
      <c r="AV987" s="16"/>
    </row>
    <row r="988" spans="3:48" ht="12.75">
      <c r="C988" s="16"/>
      <c r="E988" s="16"/>
      <c r="G988" s="16"/>
      <c r="I988" s="16"/>
      <c r="K988" s="16"/>
      <c r="M988" s="16"/>
      <c r="O988" s="16"/>
      <c r="Q988" s="16"/>
      <c r="R988" s="16"/>
      <c r="T988" s="16"/>
      <c r="V988" s="16"/>
      <c r="X988" s="16"/>
      <c r="Z988" s="16"/>
      <c r="AB988" s="16"/>
      <c r="AD988" s="16"/>
      <c r="AF988" s="16"/>
      <c r="AH988" s="16"/>
      <c r="AJ988" s="16"/>
      <c r="AL988" s="16"/>
      <c r="AN988" s="16"/>
      <c r="AP988" s="16"/>
      <c r="AR988" s="16"/>
      <c r="AT988" s="16"/>
      <c r="AV988" s="16"/>
    </row>
    <row r="989" spans="3:48" ht="12.75">
      <c r="C989" s="16"/>
      <c r="E989" s="16"/>
      <c r="G989" s="16"/>
      <c r="I989" s="16"/>
      <c r="K989" s="16"/>
      <c r="M989" s="16"/>
      <c r="O989" s="16"/>
      <c r="Q989" s="16"/>
      <c r="R989" s="16"/>
      <c r="T989" s="16"/>
      <c r="V989" s="16"/>
      <c r="X989" s="16"/>
      <c r="Z989" s="16"/>
      <c r="AB989" s="16"/>
      <c r="AD989" s="16"/>
      <c r="AF989" s="16"/>
      <c r="AH989" s="16"/>
      <c r="AJ989" s="16"/>
      <c r="AL989" s="16"/>
      <c r="AN989" s="16"/>
      <c r="AP989" s="16"/>
      <c r="AR989" s="16"/>
      <c r="AT989" s="16"/>
      <c r="AV989" s="16"/>
    </row>
    <row r="990" spans="3:48" ht="12.75">
      <c r="C990" s="16"/>
      <c r="E990" s="16"/>
      <c r="G990" s="16"/>
      <c r="I990" s="16"/>
      <c r="K990" s="16"/>
      <c r="M990" s="16"/>
      <c r="O990" s="16"/>
      <c r="Q990" s="16"/>
      <c r="R990" s="16"/>
      <c r="T990" s="16"/>
      <c r="V990" s="16"/>
      <c r="X990" s="16"/>
      <c r="Z990" s="16"/>
      <c r="AB990" s="16"/>
      <c r="AD990" s="16"/>
      <c r="AF990" s="16"/>
      <c r="AH990" s="16"/>
      <c r="AJ990" s="16"/>
      <c r="AL990" s="16"/>
      <c r="AN990" s="16"/>
      <c r="AP990" s="16"/>
      <c r="AR990" s="16"/>
      <c r="AT990" s="16"/>
      <c r="AV990" s="16"/>
    </row>
    <row r="991" spans="3:48" ht="12.75">
      <c r="C991" s="16"/>
      <c r="E991" s="16"/>
      <c r="G991" s="16"/>
      <c r="I991" s="16"/>
      <c r="K991" s="16"/>
      <c r="M991" s="16"/>
      <c r="O991" s="16"/>
      <c r="Q991" s="16"/>
      <c r="R991" s="16"/>
      <c r="T991" s="16"/>
      <c r="V991" s="16"/>
      <c r="X991" s="16"/>
      <c r="Z991" s="16"/>
      <c r="AB991" s="16"/>
      <c r="AD991" s="16"/>
      <c r="AF991" s="16"/>
      <c r="AH991" s="16"/>
      <c r="AJ991" s="16"/>
      <c r="AL991" s="16"/>
      <c r="AN991" s="16"/>
      <c r="AP991" s="16"/>
      <c r="AR991" s="16"/>
      <c r="AT991" s="16"/>
      <c r="AV991" s="16"/>
    </row>
    <row r="992" spans="3:48" ht="12.75">
      <c r="C992" s="16"/>
      <c r="E992" s="16"/>
      <c r="G992" s="16"/>
      <c r="I992" s="16"/>
      <c r="K992" s="16"/>
      <c r="M992" s="16"/>
      <c r="O992" s="16"/>
      <c r="Q992" s="16"/>
      <c r="R992" s="16"/>
      <c r="T992" s="16"/>
      <c r="V992" s="16"/>
      <c r="X992" s="16"/>
      <c r="Z992" s="16"/>
      <c r="AB992" s="16"/>
      <c r="AD992" s="16"/>
      <c r="AF992" s="16"/>
      <c r="AH992" s="16"/>
      <c r="AJ992" s="16"/>
      <c r="AL992" s="16"/>
      <c r="AN992" s="16"/>
      <c r="AP992" s="16"/>
      <c r="AR992" s="16"/>
      <c r="AT992" s="16"/>
      <c r="AV992" s="16"/>
    </row>
    <row r="993" spans="3:48" ht="12.75">
      <c r="C993" s="16"/>
      <c r="E993" s="16"/>
      <c r="G993" s="16"/>
      <c r="I993" s="16"/>
      <c r="K993" s="16"/>
      <c r="M993" s="16"/>
      <c r="O993" s="16"/>
      <c r="Q993" s="16"/>
      <c r="R993" s="16"/>
      <c r="T993" s="16"/>
      <c r="V993" s="16"/>
      <c r="X993" s="16"/>
      <c r="Z993" s="16"/>
      <c r="AB993" s="16"/>
      <c r="AD993" s="16"/>
      <c r="AF993" s="16"/>
      <c r="AH993" s="16"/>
      <c r="AJ993" s="16"/>
      <c r="AL993" s="16"/>
      <c r="AN993" s="16"/>
      <c r="AP993" s="16"/>
      <c r="AR993" s="16"/>
      <c r="AT993" s="16"/>
      <c r="AV993" s="16"/>
    </row>
    <row r="994" spans="3:48" ht="12.75">
      <c r="C994" s="16"/>
      <c r="E994" s="16"/>
      <c r="G994" s="16"/>
      <c r="I994" s="16"/>
      <c r="K994" s="16"/>
      <c r="M994" s="16"/>
      <c r="O994" s="16"/>
      <c r="Q994" s="16"/>
      <c r="R994" s="16"/>
      <c r="T994" s="16"/>
      <c r="V994" s="16"/>
      <c r="X994" s="16"/>
      <c r="Z994" s="16"/>
      <c r="AB994" s="16"/>
      <c r="AD994" s="16"/>
      <c r="AF994" s="16"/>
      <c r="AH994" s="16"/>
      <c r="AJ994" s="16"/>
      <c r="AL994" s="16"/>
      <c r="AN994" s="16"/>
      <c r="AP994" s="16"/>
      <c r="AR994" s="16"/>
      <c r="AT994" s="16"/>
      <c r="AV994" s="16"/>
    </row>
    <row r="995" spans="3:48" ht="12.75">
      <c r="C995" s="16"/>
      <c r="E995" s="16"/>
      <c r="G995" s="16"/>
      <c r="I995" s="16"/>
      <c r="K995" s="16"/>
      <c r="M995" s="16"/>
      <c r="O995" s="16"/>
      <c r="Q995" s="16"/>
      <c r="R995" s="16"/>
      <c r="T995" s="16"/>
      <c r="V995" s="16"/>
      <c r="X995" s="16"/>
      <c r="Z995" s="16"/>
      <c r="AB995" s="16"/>
      <c r="AD995" s="16"/>
      <c r="AF995" s="16"/>
      <c r="AH995" s="16"/>
      <c r="AJ995" s="16"/>
      <c r="AL995" s="16"/>
      <c r="AN995" s="16"/>
      <c r="AP995" s="16"/>
      <c r="AR995" s="16"/>
      <c r="AT995" s="16"/>
      <c r="AV995" s="16"/>
    </row>
    <row r="996" spans="3:48" ht="12.75">
      <c r="C996" s="16"/>
      <c r="E996" s="16"/>
      <c r="G996" s="16"/>
      <c r="I996" s="16"/>
      <c r="K996" s="16"/>
      <c r="M996" s="16"/>
      <c r="O996" s="16"/>
      <c r="Q996" s="16"/>
      <c r="R996" s="16"/>
      <c r="T996" s="16"/>
      <c r="V996" s="16"/>
      <c r="X996" s="16"/>
      <c r="Z996" s="16"/>
      <c r="AB996" s="16"/>
      <c r="AD996" s="16"/>
      <c r="AF996" s="16"/>
      <c r="AH996" s="16"/>
      <c r="AJ996" s="16"/>
      <c r="AL996" s="16"/>
      <c r="AN996" s="16"/>
      <c r="AP996" s="16"/>
      <c r="AR996" s="16"/>
      <c r="AT996" s="16"/>
      <c r="AV996" s="16"/>
    </row>
    <row r="997" spans="3:48" ht="12.75">
      <c r="C997" s="16"/>
      <c r="E997" s="16"/>
      <c r="G997" s="16"/>
      <c r="I997" s="16"/>
      <c r="K997" s="16"/>
      <c r="M997" s="16"/>
      <c r="O997" s="16"/>
      <c r="Q997" s="16"/>
      <c r="R997" s="16"/>
      <c r="T997" s="16"/>
      <c r="V997" s="16"/>
      <c r="X997" s="16"/>
      <c r="Z997" s="16"/>
      <c r="AB997" s="16"/>
      <c r="AD997" s="16"/>
      <c r="AF997" s="16"/>
      <c r="AH997" s="16"/>
      <c r="AJ997" s="16"/>
      <c r="AL997" s="16"/>
      <c r="AN997" s="16"/>
      <c r="AP997" s="16"/>
      <c r="AR997" s="16"/>
      <c r="AT997" s="16"/>
      <c r="AV997" s="16"/>
    </row>
    <row r="998" spans="3:48" ht="12.75">
      <c r="C998" s="16"/>
      <c r="E998" s="16"/>
      <c r="G998" s="16"/>
      <c r="I998" s="16"/>
      <c r="K998" s="16"/>
      <c r="M998" s="16"/>
      <c r="O998" s="16"/>
      <c r="Q998" s="16"/>
      <c r="R998" s="16"/>
      <c r="T998" s="16"/>
      <c r="V998" s="16"/>
      <c r="X998" s="16"/>
      <c r="Z998" s="16"/>
      <c r="AB998" s="16"/>
      <c r="AD998" s="16"/>
      <c r="AF998" s="16"/>
      <c r="AH998" s="16"/>
      <c r="AJ998" s="16"/>
      <c r="AL998" s="16"/>
      <c r="AN998" s="16"/>
      <c r="AP998" s="16"/>
      <c r="AR998" s="16"/>
      <c r="AT998" s="16"/>
      <c r="AV998" s="16"/>
    </row>
    <row r="999" spans="3:48" ht="12.75">
      <c r="C999" s="16"/>
      <c r="E999" s="16"/>
      <c r="G999" s="16"/>
      <c r="I999" s="16"/>
      <c r="K999" s="16"/>
      <c r="M999" s="16"/>
      <c r="O999" s="16"/>
      <c r="Q999" s="16"/>
      <c r="R999" s="16"/>
      <c r="T999" s="16"/>
      <c r="V999" s="16"/>
      <c r="X999" s="16"/>
      <c r="Z999" s="16"/>
      <c r="AB999" s="16"/>
      <c r="AD999" s="16"/>
      <c r="AF999" s="16"/>
      <c r="AH999" s="16"/>
      <c r="AJ999" s="16"/>
      <c r="AL999" s="16"/>
      <c r="AN999" s="16"/>
      <c r="AP999" s="16"/>
      <c r="AR999" s="16"/>
      <c r="AT999" s="16"/>
      <c r="AV999" s="16"/>
    </row>
    <row r="1000" spans="3:48" ht="12.75">
      <c r="C1000" s="16"/>
      <c r="E1000" s="16"/>
      <c r="G1000" s="16"/>
      <c r="I1000" s="16"/>
      <c r="K1000" s="16"/>
      <c r="M1000" s="16"/>
      <c r="O1000" s="16"/>
      <c r="Q1000" s="16"/>
      <c r="R1000" s="16"/>
      <c r="T1000" s="16"/>
      <c r="V1000" s="16"/>
      <c r="X1000" s="16"/>
      <c r="Z1000" s="16"/>
      <c r="AB1000" s="16"/>
      <c r="AD1000" s="16"/>
      <c r="AF1000" s="16"/>
      <c r="AH1000" s="16"/>
      <c r="AJ1000" s="16"/>
      <c r="AL1000" s="16"/>
      <c r="AN1000" s="16"/>
      <c r="AP1000" s="16"/>
      <c r="AR1000" s="16"/>
      <c r="AT1000" s="16"/>
      <c r="AV1000" s="16"/>
    </row>
  </sheetData>
  <mergeCells count="1">
    <mergeCell ref="A1:BJ1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2025-10-13T18:40:15Z</dcterms:created>
  <dcterms:modified xsi:type="dcterms:W3CDTF">2026-08-02T16:20:21Z</dcterms:modified>
</cp:coreProperties>
</file>